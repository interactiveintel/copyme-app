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rints" sheetId="2" state="visible" r:id="rId4"/>
    <sheet name="Dashboard" sheetId="3" state="visible" r:id="rId5"/>
    <sheet name="Joze Feedback" sheetId="4" state="visible" r:id="rId6"/>
    <sheet name="Feedback 3 Deltas" sheetId="5" state="visible" r:id="rId7"/>
    <sheet name="Capital Plan" sheetId="6" state="visible" r:id="rId8"/>
  </sheets>
  <definedNames>
    <definedName function="false" hidden="true" localSheetId="1" name="_xlnm._FilterDatabase" vbProcedure="false">Sprints!$A$1:$M$162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<sst xmlns="http://schemas.openxmlformats.org/spreadsheetml/2006/main" count="1349" uniqueCount="648">
  <si>
    <t xml:space="preserve">CopyMe (CpM) — Sprint Tracker</t>
  </si>
  <si>
    <t xml:space="preserve">Companion to: COPYME_SPRINT_PLAN.md</t>
  </si>
  <si>
    <t xml:space="preserve">Owners: Paul Pereira (US) · Jože Kralj (SI)</t>
  </si>
  <si>
    <t xml:space="preserve">Plan date: 2026-05-09</t>
  </si>
  <si>
    <t xml:space="preserve">How to use this tracker</t>
  </si>
  <si>
    <t xml:space="preserve">• Each row in the 'Sprints' tab is a 1-hour Claude Code unit of work.</t>
  </si>
  <si>
    <t xml:space="preserve">• Set Status to: todo → in_progress → done (or blocked).</t>
  </si>
  <si>
    <t xml:space="preserve">• 'Owner' is who is executing the sprint right now.</t>
  </si>
  <si>
    <t xml:space="preserve">• 'Acceptance' is the canonical pass/fail; mirrors the AC in the markdown plan.</t>
  </si>
  <si>
    <t xml:space="preserve">• Filter by Phase or Workstream to plan a working session.</t>
  </si>
  <si>
    <t xml:space="preserve">• 'Dashboard' tab auto-counts progress.</t>
  </si>
  <si>
    <t xml:space="preserve">Phases</t>
  </si>
  <si>
    <t xml:space="preserve">Sprint 0 — Close Jože's 2nd-feedback edits (8 sprints)</t>
  </si>
  <si>
    <t xml:space="preserve">Phase 1 — Communication core, Year 1 free tier (60 sprints)</t>
  </si>
  <si>
    <t xml:space="preserve">Phase 2 — Yogi AI + surveys + ad marketplace + paid tiers (35 sprints)</t>
  </si>
  <si>
    <t xml:space="preserve">Phase 3 — Value Account Pay (27 sprints, regulator-gated)</t>
  </si>
  <si>
    <t xml:space="preserve">Business — Entity, IP, €1M angel raise, Boscarol track (12 sprints)</t>
  </si>
  <si>
    <t xml:space="preserve">Definition of Done</t>
  </si>
  <si>
    <t xml:space="preserve">1. Code compiles, type-checks, lints clean.</t>
  </si>
  <si>
    <t xml:space="preserve">2. AC verified locally and on Vercel preview where user-visible.</t>
  </si>
  <si>
    <t xml:space="preserve">3. New behavior covered by ≥1 automated test.</t>
  </si>
  <si>
    <t xml:space="preserve">4. PR titled 'S-XXX: &lt;Title&gt;' against main with 3-line summary.</t>
  </si>
  <si>
    <t xml:space="preserve">5. This row marked 'done'.</t>
  </si>
  <si>
    <t xml:space="preserve">Feedback 3 update (2026-05-10)</t>
  </si>
  <si>
    <t xml:space="preserve">• See FEEDBACK_3_CORRECTION_PLAN.md for the full correction plan and dated timeline.</t>
  </si>
  <si>
    <t xml:space="preserve">• 6 new sprints added: S-009 (email migration), S-010 (hero H2), B-013 (use of proceeds), B-014 (investor list), B-015 (timeline), B-016 (customer-ready gate).</t>
  </si>
  <si>
    <t xml:space="preserve">• S-001 was corrected — 'Communication That Matters' stays as H1.</t>
  </si>
  <si>
    <t xml:space="preserve">• Total backlog: 161 sprints (was 155).</t>
  </si>
  <si>
    <t xml:space="preserve">• Target gates: G0 by 2026-05-12 · G1 by 2026-05-22 · G2 by 2026-06-02 · G3 by 2026-06-09.</t>
  </si>
  <si>
    <t xml:space="preserve">ID</t>
  </si>
  <si>
    <t xml:space="preserve">Phase</t>
  </si>
  <si>
    <t xml:space="preserve">Workstream</t>
  </si>
  <si>
    <t xml:space="preserve">Sprint title</t>
  </si>
  <si>
    <t xml:space="preserve">Goal / Acceptance</t>
  </si>
  <si>
    <t xml:space="preserve">Depends on</t>
  </si>
  <si>
    <t xml:space="preserve">Owner</t>
  </si>
  <si>
    <t xml:space="preserve">Status</t>
  </si>
  <si>
    <t xml:space="preserve">Estimate (hr)</t>
  </si>
  <si>
    <t xml:space="preserve">Sprint #</t>
  </si>
  <si>
    <t xml:space="preserve">Started</t>
  </si>
  <si>
    <t xml:space="preserve">Completed</t>
  </si>
  <si>
    <t xml:space="preserve">Notes</t>
  </si>
  <si>
    <t xml:space="preserve">S-001</t>
  </si>
  <si>
    <t xml:space="preserve">Sprint 0</t>
  </si>
  <si>
    <t xml:space="preserve">PROD</t>
  </si>
  <si>
    <t xml:space="preserve">Hero — remove 'Copies', keep 'Communication That Matters' (corrected per Feedback 3)</t>
  </si>
  <si>
    <t xml:space="preserve">H1 reads 'Communication That Matters'; 'Copies' string gone; OG regenerated. Feedback 3 clarified Communication That Matters was never meant to be removed.</t>
  </si>
  <si>
    <t xml:space="preserve">—</t>
  </si>
  <si>
    <t xml:space="preserve">todo</t>
  </si>
  <si>
    <t xml:space="preserve">Corrected per Feedback 3 (2026-05-10)</t>
  </si>
  <si>
    <t xml:space="preserve">S-002</t>
  </si>
  <si>
    <t xml:space="preserve">Hero subhead Rule of 7 rewrite</t>
  </si>
  <si>
    <t xml:space="preserve">Replace subhead per Joze's exact wording; remove old strings.</t>
  </si>
  <si>
    <t xml:space="preserve">S-003</t>
  </si>
  <si>
    <t xml:space="preserve">TRUST</t>
  </si>
  <si>
    <t xml:space="preserve">Move Rule-of-7 mechanics to Terms</t>
  </si>
  <si>
    <t xml:space="preserve">Strip 70/7/last-7 numbers from landing; ensure they live in Terms §3.</t>
  </si>
  <si>
    <t xml:space="preserve">S-004</t>
  </si>
  <si>
    <t xml:space="preserve">Fix Terms suspension wording + typo</t>
  </si>
  <si>
    <t xml:space="preserve">Reword 'We can suspend' line; fix 'suspened' typo.</t>
  </si>
  <si>
    <t xml:space="preserve">S-005</t>
  </si>
  <si>
    <t xml:space="preserve">Logo: drop 'Rule of 7' subscript</t>
  </si>
  <si>
    <t xml:space="preserve">Clean SVG mark; regenerate favicons; keep legacy lockup in press kit.</t>
  </si>
  <si>
    <t xml:space="preserve">S-006</t>
  </si>
  <si>
    <t xml:space="preserve">Logo variant: globe-with-figure</t>
  </si>
  <si>
    <t xml:space="preserve">Two SVG explorations adding small globe + figure (per original paper).</t>
  </si>
  <si>
    <t xml:space="preserve">S-007</t>
  </si>
  <si>
    <t xml:space="preserve">ENG</t>
  </si>
  <si>
    <t xml:space="preserve">Add country code +386 (Slovenia) to phone auth</t>
  </si>
  <si>
    <t xml:space="preserve">Slovenia selectable, validated, sample SMS sent in dev.</t>
  </si>
  <si>
    <t xml:space="preserve">S-008</t>
  </si>
  <si>
    <t xml:space="preserve">Cross-device live test (US ↔ SI)</t>
  </si>
  <si>
    <t xml:space="preserve">Install PWA on Paul + Joze phones; exchange messages; capture screenshots.</t>
  </si>
  <si>
    <t xml:space="preserve">S-007; S-001..S-005 deployed</t>
  </si>
  <si>
    <t xml:space="preserve">S-101</t>
  </si>
  <si>
    <t xml:space="preserve">Phase 1</t>
  </si>
  <si>
    <t xml:space="preserve">Phone-first sign-up flow</t>
  </si>
  <si>
    <t xml:space="preserve">Country code → SMS OTP → display name.</t>
  </si>
  <si>
    <t xml:space="preserve">S-102</t>
  </si>
  <si>
    <t xml:space="preserve">Country picker: full ITU list</t>
  </si>
  <si>
    <t xml:space="preserve">240+ entries; SI/US pinned for context; keyboard-navigable.</t>
  </si>
  <si>
    <t xml:space="preserve">S-103</t>
  </si>
  <si>
    <t xml:space="preserve">OTP backend (provider-agnostic)</t>
  </si>
  <si>
    <t xml:space="preserve">Twilio + fallback behind sendOtp() interface.</t>
  </si>
  <si>
    <t xml:space="preserve">S-104</t>
  </si>
  <si>
    <t xml:space="preserve">Onboarding 'first 7 contacts' import</t>
  </si>
  <si>
    <t xml:space="preserve">Up to 7; skip allowed; analytics event.</t>
  </si>
  <si>
    <t xml:space="preserve">S-105</t>
  </si>
  <si>
    <t xml:space="preserve">Display-name + avatar setup</t>
  </si>
  <si>
    <t xml:space="preserve">Required name, optional avatar, default generator.</t>
  </si>
  <si>
    <t xml:space="preserve">S-106</t>
  </si>
  <si>
    <t xml:space="preserve">Session management &amp; device list</t>
  </si>
  <si>
    <t xml:space="preserve">Sessions table; revoke a device.</t>
  </si>
  <si>
    <t xml:space="preserve">S-107</t>
  </si>
  <si>
    <t xml:space="preserve">Refresh-token rotation + replay protection</t>
  </si>
  <si>
    <t xml:space="preserve">Single-use refresh; replay alerts user.</t>
  </si>
  <si>
    <t xml:space="preserve">S-108</t>
  </si>
  <si>
    <t xml:space="preserve">Lost-phone recovery flow</t>
  </si>
  <si>
    <t xml:space="preserve">Secondary number OR signed recovery file.</t>
  </si>
  <si>
    <t xml:space="preserve">S-109</t>
  </si>
  <si>
    <t xml:space="preserve">Hard-delete account flow</t>
  </si>
  <si>
    <t xml:space="preserve">Self-serve delete per Terms §8; 30-day grace + ZIP export.</t>
  </si>
  <si>
    <t xml:space="preserve">S-110</t>
  </si>
  <si>
    <t xml:space="preserve">16+ age gate at signup</t>
  </si>
  <si>
    <t xml:space="preserve">Per-locale digital-consent threshold; block + appeal.</t>
  </si>
  <si>
    <t xml:space="preserve">S-111</t>
  </si>
  <si>
    <t xml:space="preserve">Server-side 70-word message cap</t>
  </si>
  <si>
    <t xml:space="preserve">Reject &gt;70 with RULE_OF_7_WORD_CAP error.</t>
  </si>
  <si>
    <t xml:space="preserve">S-112</t>
  </si>
  <si>
    <t xml:space="preserve">Client live word counter</t>
  </si>
  <si>
    <t xml:space="preserve">Counter under composer; amber@60, red@70, hard-stop.</t>
  </si>
  <si>
    <t xml:space="preserve">S-113</t>
  </si>
  <si>
    <t xml:space="preserve">7-item media-group cap</t>
  </si>
  <si>
    <t xml:space="preserve">Picker disables +; server rejects &gt;7.</t>
  </si>
  <si>
    <t xml:space="preserve">S-114</t>
  </si>
  <si>
    <t xml:space="preserve">70-second voice/video cap</t>
  </si>
  <si>
    <t xml:space="preserve">Recorder hard-stops at 70s.</t>
  </si>
  <si>
    <t xml:space="preserve">S-115</t>
  </si>
  <si>
    <t xml:space="preserve">7 active contacts (free) enforcement</t>
  </si>
  <si>
    <t xml:space="preserve">8th archives least-recent thread.</t>
  </si>
  <si>
    <t xml:space="preserve">S-116</t>
  </si>
  <si>
    <t xml:space="preserve">Last-7 messages retention (free)</t>
  </si>
  <si>
    <t xml:space="preserve">Hourly pruning job; in-thread upgrade hint.</t>
  </si>
  <si>
    <t xml:space="preserve">S-117</t>
  </si>
  <si>
    <t xml:space="preserve">Rule-of-7 telemetry dashboard</t>
  </si>
  <si>
    <t xml:space="preserve">Grafana panel; alert if any cap &lt; 0.5% trigger.</t>
  </si>
  <si>
    <t xml:space="preserve">S-111..S-116</t>
  </si>
  <si>
    <t xml:space="preserve">S-118</t>
  </si>
  <si>
    <t xml:space="preserve">Rule-of-7 enforcement integration tests</t>
  </si>
  <si>
    <t xml:space="preserve">E2E suite, &lt; 3 min, no flakes.</t>
  </si>
  <si>
    <t xml:space="preserve">S-121</t>
  </si>
  <si>
    <t xml:space="preserve">Inbox list — 7-item view</t>
  </si>
  <si>
    <t xml:space="preserve">Virtualized 7-thread inbox; pull-to-refresh.</t>
  </si>
  <si>
    <t xml:space="preserve">S-122</t>
  </si>
  <si>
    <t xml:space="preserve">Thread view — bubble layout</t>
  </si>
  <si>
    <t xml:space="preserve">Bubbles, separators, read receipts, smooth on mid-tier Android.</t>
  </si>
  <si>
    <t xml:space="preserve">S-123</t>
  </si>
  <si>
    <t xml:space="preserve">Composer with n/70 counter</t>
  </si>
  <si>
    <t xml:space="preserve">Sticky composer; paste &gt;70 trims with toast.</t>
  </si>
  <si>
    <t xml:space="preserve">S-124</t>
  </si>
  <si>
    <t xml:space="preserve">Typing indicator + presence</t>
  </si>
  <si>
    <t xml:space="preserve">Opt-out per privacy; defaults documented.</t>
  </si>
  <si>
    <t xml:space="preserve">S-125</t>
  </si>
  <si>
    <t xml:space="preserve">Read receipts (opt-out)</t>
  </si>
  <si>
    <t xml:space="preserve">Mutual invisibility on opt-out.</t>
  </si>
  <si>
    <t xml:space="preserve">S-126</t>
  </si>
  <si>
    <t xml:space="preserve">Reactions limited to 7 emoji</t>
  </si>
  <si>
    <t xml:space="preserve">❤️ 👍 😂 😮 😢 🔥 💜 only.</t>
  </si>
  <si>
    <t xml:space="preserve">S-127</t>
  </si>
  <si>
    <t xml:space="preserve">Reply / quote (no forward chains)</t>
  </si>
  <si>
    <t xml:space="preserve">Reply inline; forward intentionally absent.</t>
  </si>
  <si>
    <t xml:space="preserve">S-128</t>
  </si>
  <si>
    <t xml:space="preserve">Search across last-7 per thread</t>
  </si>
  <si>
    <t xml:space="preserve">&lt;100 ms on 7×7 corpus.</t>
  </si>
  <si>
    <t xml:space="preserve">S-129</t>
  </si>
  <si>
    <t xml:space="preserve">Push notifications (FCM + APNs)</t>
  </si>
  <si>
    <t xml:space="preserve">Per-thread mute, quiet hours, per-device opt-in.</t>
  </si>
  <si>
    <t xml:space="preserve">S-130</t>
  </si>
  <si>
    <t xml:space="preserve">Offline send queue</t>
  </si>
  <si>
    <t xml:space="preserve">Max 7 queued messages; flush on reconnect.</t>
  </si>
  <si>
    <t xml:space="preserve">S-131</t>
  </si>
  <si>
    <t xml:space="preserve">Voice clip recorder (≤70s)</t>
  </si>
  <si>
    <t xml:space="preserve">Hold-to-record; waveform; transcript stub.</t>
  </si>
  <si>
    <t xml:space="preserve">S-132</t>
  </si>
  <si>
    <t xml:space="preserve">Video clip recorder (≤70s)</t>
  </si>
  <si>
    <t xml:space="preserve">720p; thumbnail; HLS via CDN.</t>
  </si>
  <si>
    <t xml:space="preserve">S-133</t>
  </si>
  <si>
    <t xml:space="preserve">Image attachments (≤7, EXIF stripped)</t>
  </si>
  <si>
    <t xml:space="preserve">Server strips EXIF incl. GPS.</t>
  </si>
  <si>
    <t xml:space="preserve">S-134</t>
  </si>
  <si>
    <t xml:space="preserve">Document attachments</t>
  </si>
  <si>
    <t xml:space="preserve">≤7 docs, ≤25 MB; PDF preview.</t>
  </si>
  <si>
    <t xml:space="preserve">S-135</t>
  </si>
  <si>
    <t xml:space="preserve">Voice/video transcripts (opt-in)</t>
  </si>
  <si>
    <t xml:space="preserve">Off by default; sibling of clip.</t>
  </si>
  <si>
    <t xml:space="preserve">S-131; S-132</t>
  </si>
  <si>
    <t xml:space="preserve">S-136</t>
  </si>
  <si>
    <t xml:space="preserve">1:1 voice call (beta flag)</t>
  </si>
  <si>
    <t xml:space="preserve">WebRTC; flag default OFF; 70-min cap.</t>
  </si>
  <si>
    <t xml:space="preserve">S-141</t>
  </si>
  <si>
    <t xml:space="preserve">E2E protocol selection + key gen</t>
  </si>
  <si>
    <t xml:space="preserve">Signal Protocol; identity + prekeys at signup.</t>
  </si>
  <si>
    <t xml:space="preserve">S-142</t>
  </si>
  <si>
    <t xml:space="preserve">E2E for text messages</t>
  </si>
  <si>
    <t xml:space="preserve">Server holds ciphertext only; rotate keys 7d.</t>
  </si>
  <si>
    <t xml:space="preserve">S-143</t>
  </si>
  <si>
    <t xml:space="preserve">E2E for media (chunked)</t>
  </si>
  <si>
    <t xml:space="preserve">Cross-device decryption test passes.</t>
  </si>
  <si>
    <t xml:space="preserve">S-144</t>
  </si>
  <si>
    <t xml:space="preserve">Safety-number verification</t>
  </si>
  <si>
    <t xml:space="preserve">Per-contact safety #; alert on change.</t>
  </si>
  <si>
    <t xml:space="preserve">S-145</t>
  </si>
  <si>
    <t xml:space="preserve">Privacy controls screen</t>
  </si>
  <si>
    <t xml:space="preserve">Single screen consolidating all opt-outs.</t>
  </si>
  <si>
    <t xml:space="preserve">S-124; S-125; S-135</t>
  </si>
  <si>
    <t xml:space="preserve">S-146</t>
  </si>
  <si>
    <t xml:space="preserve">Data-export ZIP (GDPR Art.15)</t>
  </si>
  <si>
    <t xml:space="preserve">Portable ZIP delivered ≤7 days.</t>
  </si>
  <si>
    <t xml:space="preserve">S-151</t>
  </si>
  <si>
    <t xml:space="preserve">Profile screen</t>
  </si>
  <si>
    <t xml:space="preserve">Visual parity with mock; deep-linkable settings.</t>
  </si>
  <si>
    <t xml:space="preserve">S-152</t>
  </si>
  <si>
    <t xml:space="preserve">Plan card (Free/Pro/Business)</t>
  </si>
  <si>
    <t xml:space="preserve">Live tier; CTA → /pricing.</t>
  </si>
  <si>
    <t xml:space="preserve">S-153</t>
  </si>
  <si>
    <t xml:space="preserve">Pricing page polish</t>
  </si>
  <si>
    <t xml:space="preserve">Lighthouse a11y &gt; 95 on mobile.</t>
  </si>
  <si>
    <t xml:space="preserve">S-154</t>
  </si>
  <si>
    <t xml:space="preserve">Press kit polish</t>
  </si>
  <si>
    <t xml:space="preserve">ZIP download; legacy + new logos.</t>
  </si>
  <si>
    <t xml:space="preserve">S-155</t>
  </si>
  <si>
    <t xml:space="preserve">Privacy policy refresh</t>
  </si>
  <si>
    <t xml:space="preserve">Align with Yogi DPA + EU/UK rights.</t>
  </si>
  <si>
    <t xml:space="preserve">S-156</t>
  </si>
  <si>
    <t xml:space="preserve">Terms diff PR</t>
  </si>
  <si>
    <t xml:space="preserve">Consolidate Sprint 0 changes; lawyer-friendly.</t>
  </si>
  <si>
    <t xml:space="preserve">S-003; S-004</t>
  </si>
  <si>
    <t xml:space="preserve">S-157</t>
  </si>
  <si>
    <t xml:space="preserve">Cookie / tracking banner (EU)</t>
  </si>
  <si>
    <t xml:space="preserve">Geo-detected; analytics gated by consent.</t>
  </si>
  <si>
    <t xml:space="preserve">S-158</t>
  </si>
  <si>
    <t xml:space="preserve">BIZ</t>
  </si>
  <si>
    <t xml:space="preserve">Investor data-room polish</t>
  </si>
  <si>
    <t xml:space="preserve">/pitch live metrics; cached at edge.</t>
  </si>
  <si>
    <t xml:space="preserve">S-161</t>
  </si>
  <si>
    <t xml:space="preserve">PWA install prompt + manifest</t>
  </si>
  <si>
    <t xml:space="preserve">Lighthouse PWA score 100.</t>
  </si>
  <si>
    <t xml:space="preserve">S-162</t>
  </si>
  <si>
    <t xml:space="preserve">iOS Safari install handoff</t>
  </si>
  <si>
    <t xml:space="preserve">UA-detected; one-time dismissable.</t>
  </si>
  <si>
    <t xml:space="preserve">S-163</t>
  </si>
  <si>
    <t xml:space="preserve">Capacitor wrapper for stores</t>
  </si>
  <si>
    <t xml:space="preserve">Shells build; push wired.</t>
  </si>
  <si>
    <t xml:space="preserve">S-129; S-161</t>
  </si>
  <si>
    <t xml:space="preserve">S-164</t>
  </si>
  <si>
    <t xml:space="preserve">App Store metadata + screenshots</t>
  </si>
  <si>
    <t xml:space="preserve">Submitted to TestFlight track.</t>
  </si>
  <si>
    <t xml:space="preserve">S-165</t>
  </si>
  <si>
    <t xml:space="preserve">Play Store metadata + screenshots</t>
  </si>
  <si>
    <t xml:space="preserve">Listing in Internal Testing.</t>
  </si>
  <si>
    <t xml:space="preserve">S-166</t>
  </si>
  <si>
    <t xml:space="preserve">Deep links (copyme://)</t>
  </si>
  <si>
    <t xml:space="preserve">Universal + App Links; .well-known served.</t>
  </si>
  <si>
    <t xml:space="preserve">S-171</t>
  </si>
  <si>
    <t xml:space="preserve">Report-message flow</t>
  </si>
  <si>
    <t xml:space="preserve">Long-press → Report; 4 reasons; receipt notice.</t>
  </si>
  <si>
    <t xml:space="preserve">S-172</t>
  </si>
  <si>
    <t xml:space="preserve">Block contact</t>
  </si>
  <si>
    <t xml:space="preserve">Mutual invisibility; no leak.</t>
  </si>
  <si>
    <t xml:space="preserve">S-173</t>
  </si>
  <si>
    <t xml:space="preserve">NSFW + CSAM hash matching</t>
  </si>
  <si>
    <t xml:space="preserve">NCMEC hash-match; perceptual NSFW flag.</t>
  </si>
  <si>
    <t xml:space="preserve">S-174</t>
  </si>
  <si>
    <t xml:space="preserve">Anti-spam heuristics</t>
  </si>
  <si>
    <t xml:space="preserve">Rate, novel-recipient ratio, link density. Precision &gt;0.9.</t>
  </si>
  <si>
    <t xml:space="preserve">S-175</t>
  </si>
  <si>
    <t xml:space="preserve">Account suspension flow</t>
  </si>
  <si>
    <t xml:space="preserve">Soft → hard suspend; appeal email; Terms §4 verbatim.</t>
  </si>
  <si>
    <t xml:space="preserve">S-176</t>
  </si>
  <si>
    <t xml:space="preserve">Transparency report scaffold</t>
  </si>
  <si>
    <t xml:space="preserve">Quarterly template + pipeline.</t>
  </si>
  <si>
    <t xml:space="preserve">S-181</t>
  </si>
  <si>
    <t xml:space="preserve">Structured logging baseline</t>
  </si>
  <si>
    <t xml:space="preserve">JSON logs to Vercel + long-term store.</t>
  </si>
  <si>
    <t xml:space="preserve">S-182</t>
  </si>
  <si>
    <t xml:space="preserve">Error tracking (Sentry)</t>
  </si>
  <si>
    <t xml:space="preserve">Release-tagged; PII scrubbed.</t>
  </si>
  <si>
    <t xml:space="preserve">S-183</t>
  </si>
  <si>
    <t xml:space="preserve">RUM (Core Web Vitals)</t>
  </si>
  <si>
    <t xml:space="preserve">LCP &lt; 2.5s p75 on landing.</t>
  </si>
  <si>
    <t xml:space="preserve">S-184</t>
  </si>
  <si>
    <t xml:space="preserve">Synthetic monitoring</t>
  </si>
  <si>
    <t xml:space="preserve">5-min checks; alert on 2 fails; status page.</t>
  </si>
  <si>
    <t xml:space="preserve">S-185</t>
  </si>
  <si>
    <t xml:space="preserve">Backup + DR drill (7-day RPO)</t>
  </si>
  <si>
    <t xml:space="preserve">Documented restore drill executed.</t>
  </si>
  <si>
    <t xml:space="preserve">S-186</t>
  </si>
  <si>
    <t xml:space="preserve">Feature flags wrapper</t>
  </si>
  <si>
    <t xml:space="preserve">Wrap flag SDK; first 2 flags live, default OFF.</t>
  </si>
  <si>
    <t xml:space="preserve">S-187</t>
  </si>
  <si>
    <t xml:space="preserve">CI/CD: preview-per-PR + main → prod</t>
  </si>
  <si>
    <t xml:space="preserve">Branch protections; required checks.</t>
  </si>
  <si>
    <t xml:space="preserve">S-188</t>
  </si>
  <si>
    <t xml:space="preserve">Load test 1k → 10k</t>
  </si>
  <si>
    <t xml:space="preserve">p95 signup &lt;600 ms; 5xx &lt;0.1%.</t>
  </si>
  <si>
    <t xml:space="preserve">S-101; S-122</t>
  </si>
  <si>
    <t xml:space="preserve">S-191</t>
  </si>
  <si>
    <t xml:space="preserve">Beta cohort: invite first 70</t>
  </si>
  <si>
    <t xml:space="preserve">Curated invite; thank-you banner.</t>
  </si>
  <si>
    <t xml:space="preserve">S-187; S-188</t>
  </si>
  <si>
    <t xml:space="preserve">S-192</t>
  </si>
  <si>
    <t xml:space="preserve">Public launch checklist sign-off</t>
  </si>
  <si>
    <t xml:space="preserve">Legal/security/a11y/perf signed.</t>
  </si>
  <si>
    <t xml:space="preserve">S-176; S-184</t>
  </si>
  <si>
    <t xml:space="preserve">S-193</t>
  </si>
  <si>
    <t xml:space="preserve">Press / partnerships outreach</t>
  </si>
  <si>
    <t xml:space="preserve">7 SI + 7 US outlets; 2 podcasts pre-briefed.</t>
  </si>
  <si>
    <t xml:space="preserve">S-194</t>
  </si>
  <si>
    <t xml:space="preserve">Phase 1 LAUNCH day</t>
  </si>
  <si>
    <t xml:space="preserve">Public; war-room rotating Paul/Joze/Claude.</t>
  </si>
  <si>
    <t xml:space="preserve">S-191; S-192; S-193</t>
  </si>
  <si>
    <t xml:space="preserve">S-201</t>
  </si>
  <si>
    <t xml:space="preserve">Phase 2</t>
  </si>
  <si>
    <t xml:space="preserve">Yogi conversational shell</t>
  </si>
  <si>
    <t xml:space="preserve">Yogi entry in inbox; consent before any cleartext leaves device.</t>
  </si>
  <si>
    <t xml:space="preserve">S-202</t>
  </si>
  <si>
    <t xml:space="preserve">Yogi suggestion chip</t>
  </si>
  <si>
    <t xml:space="preserve">'Yogi suggests' chip above composer (per mock).</t>
  </si>
  <si>
    <t xml:space="preserve">S-203</t>
  </si>
  <si>
    <t xml:space="preserve">Yogi subprocessor + DPA</t>
  </si>
  <si>
    <t xml:space="preserve">Choose AI vendor; sign DPA; Privacy update.</t>
  </si>
  <si>
    <t xml:space="preserve">S-204</t>
  </si>
  <si>
    <t xml:space="preserve">Yogi cost meter + budget guard</t>
  </si>
  <si>
    <t xml:space="preserve">Daily token budget; soft cap @70%.</t>
  </si>
  <si>
    <t xml:space="preserve">S-205</t>
  </si>
  <si>
    <t xml:space="preserve">Yogi safety filters</t>
  </si>
  <si>
    <t xml:space="preserve">PII/hate/self-harm/CSAM filters; red-team passes.</t>
  </si>
  <si>
    <t xml:space="preserve">S-206</t>
  </si>
  <si>
    <t xml:space="preserve">Yogi memory (per-thread, opt-in)</t>
  </si>
  <si>
    <t xml:space="preserve">Memory wipe on opt-out; user can audit.</t>
  </si>
  <si>
    <t xml:space="preserve">S-207</t>
  </si>
  <si>
    <t xml:space="preserve">Yogi smart replies (3 options)</t>
  </si>
  <si>
    <t xml:space="preserve">Each ≤70 words; analytics on accept/decline.</t>
  </si>
  <si>
    <t xml:space="preserve">S-208</t>
  </si>
  <si>
    <t xml:space="preserve">Yogi quality dashboard</t>
  </si>
  <si>
    <t xml:space="preserve">Refusal rate, latency, $/DAU, accept rate.</t>
  </si>
  <si>
    <t xml:space="preserve">S-204; S-205</t>
  </si>
  <si>
    <t xml:space="preserve">S-211</t>
  </si>
  <si>
    <t xml:space="preserve">'Find people' search by interests</t>
  </si>
  <si>
    <t xml:space="preserve">Up to 7 tags; opt-in discoverability.</t>
  </si>
  <si>
    <t xml:space="preserve">S-212</t>
  </si>
  <si>
    <t xml:space="preserve">7-interest profile slots</t>
  </si>
  <si>
    <t xml:space="preserve">Bounded picker; swappable.</t>
  </si>
  <si>
    <t xml:space="preserve">S-213</t>
  </si>
  <si>
    <t xml:space="preserve">Match scoring (92% MATCH)</t>
  </si>
  <si>
    <t xml:space="preserve">Deterministic; tooltip explains.</t>
  </si>
  <si>
    <t xml:space="preserve">S-211; S-212</t>
  </si>
  <si>
    <t xml:space="preserve">S-214</t>
  </si>
  <si>
    <t xml:space="preserve">Discovery rate-limits + safety</t>
  </si>
  <si>
    <t xml:space="preserve">Anti-stalking; mutual mute.</t>
  </si>
  <si>
    <t xml:space="preserve">S-221</t>
  </si>
  <si>
    <t xml:space="preserve">Survey creator (B2B)</t>
  </si>
  <si>
    <t xml:space="preserve">7-question micro-survey targeted by tags.</t>
  </si>
  <si>
    <t xml:space="preserve">S-222</t>
  </si>
  <si>
    <t xml:space="preserve">Survey delivery in-app</t>
  </si>
  <si>
    <t xml:space="preserve">Inbox card; capped at 1/day; skip respected.</t>
  </si>
  <si>
    <t xml:space="preserve">S-223</t>
  </si>
  <si>
    <t xml:space="preserve">Survey results dashboard</t>
  </si>
  <si>
    <t xml:space="preserve">k-anonymity ≥7 enforced.</t>
  </si>
  <si>
    <t xml:space="preserve">S-224</t>
  </si>
  <si>
    <t xml:space="preserve">Survey ethics + Terms update</t>
  </si>
  <si>
    <t xml:space="preserve">Paid-survey clause; Privacy mirror.</t>
  </si>
  <si>
    <t xml:space="preserve">S-231</t>
  </si>
  <si>
    <t xml:space="preserve">Business account onboarding</t>
  </si>
  <si>
    <t xml:space="preserve">Company info, billing, tax ID; SI VAT + US EIN.</t>
  </si>
  <si>
    <t xml:space="preserve">S-232</t>
  </si>
  <si>
    <t xml:space="preserve">Self-serve ad creator polish</t>
  </si>
  <si>
    <t xml:space="preserve">Copy ≤70 words; 1 image; 7-tag targeting.</t>
  </si>
  <si>
    <t xml:space="preserve">S-231; S-211</t>
  </si>
  <si>
    <t xml:space="preserve">S-233</t>
  </si>
  <si>
    <t xml:space="preserve">Ad delivery slot in inbox</t>
  </si>
  <si>
    <t xml:space="preserve">Sponsored card max 1/day; mute available.</t>
  </si>
  <si>
    <t xml:space="preserve">S-234</t>
  </si>
  <si>
    <t xml:space="preserve">Ad auction + pricing</t>
  </si>
  <si>
    <t xml:space="preserve">2nd-price auction; settles &lt;100 ms.</t>
  </si>
  <si>
    <t xml:space="preserve">S-235</t>
  </si>
  <si>
    <t xml:space="preserve">Advertiser billing + invoices</t>
  </si>
  <si>
    <t xml:space="preserve">Stripe + EU/SI VAT-MOSS aware.</t>
  </si>
  <si>
    <t xml:space="preserve">S-236</t>
  </si>
  <si>
    <t xml:space="preserve">Advertiser analytics dashboard</t>
  </si>
  <si>
    <t xml:space="preserve">Impressions/CTR/conv by tag+region; CSV export.</t>
  </si>
  <si>
    <t xml:space="preserve">S-237</t>
  </si>
  <si>
    <t xml:space="preserve">Ad policy + review queue</t>
  </si>
  <si>
    <t xml:space="preserve">Manual review first 7 ads/advertiser; SLA 24h.</t>
  </si>
  <si>
    <t xml:space="preserve">S-238</t>
  </si>
  <si>
    <t xml:space="preserve">Ad transparency page (DSA)</t>
  </si>
  <si>
    <t xml:space="preserve">Public archive; CSV download.</t>
  </si>
  <si>
    <t xml:space="preserve">S-241</t>
  </si>
  <si>
    <t xml:space="preserve">Pro tier: raise the caps</t>
  </si>
  <si>
    <t xml:space="preserve">30 contacts, last-30 retention, 140-word msgs.</t>
  </si>
  <si>
    <t xml:space="preserve">S-115; S-116; S-111</t>
  </si>
  <si>
    <t xml:space="preserve">S-242</t>
  </si>
  <si>
    <t xml:space="preserve">Business tier: ads + Yogi pro</t>
  </si>
  <si>
    <t xml:space="preserve">Tier check on each surface.</t>
  </si>
  <si>
    <t xml:space="preserve">S-243</t>
  </si>
  <si>
    <t xml:space="preserve">Stripe checkout + sub mgmt</t>
  </si>
  <si>
    <t xml:space="preserve">Portal; webhooks idempotent.</t>
  </si>
  <si>
    <t xml:space="preserve">S-244</t>
  </si>
  <si>
    <t xml:space="preserve">EU 14-day cancellation</t>
  </si>
  <si>
    <t xml:space="preserve">Waiver to start digital service; refund flow.</t>
  </si>
  <si>
    <t xml:space="preserve">S-245</t>
  </si>
  <si>
    <t xml:space="preserve">Tax handling (US states + EU VAT)</t>
  </si>
  <si>
    <t xml:space="preserve">Stripe Tax; SI VAT; advisor review.</t>
  </si>
  <si>
    <t xml:space="preserve">S-246</t>
  </si>
  <si>
    <t xml:space="preserve">Promo / referral system</t>
  </si>
  <si>
    <t xml:space="preserve">Refer 7 → 7 days Pro free; abuse caps.</t>
  </si>
  <si>
    <t xml:space="preserve">S-247</t>
  </si>
  <si>
    <t xml:space="preserve">Phase 2 launch checklist + flip</t>
  </si>
  <si>
    <t xml:space="preserve">Flip Pro/Business/Ads/Yogi public; status green 24h.</t>
  </si>
  <si>
    <t xml:space="preserve">S-241..S-246; S-208; S-237</t>
  </si>
  <si>
    <t xml:space="preserve">S-251</t>
  </si>
  <si>
    <t xml:space="preserve">A/B test framework</t>
  </si>
  <si>
    <t xml:space="preserve">Flag-based; stat-sig calc.</t>
  </si>
  <si>
    <t xml:space="preserve">S-252</t>
  </si>
  <si>
    <t xml:space="preserve">Cohort analytics D1/D7/D30</t>
  </si>
  <si>
    <t xml:space="preserve">Wired to /pitch.</t>
  </si>
  <si>
    <t xml:space="preserve">S-253</t>
  </si>
  <si>
    <t xml:space="preserve">Onboarding funnel optimization</t>
  </si>
  <si>
    <t xml:space="preserve">Top-3 drop-off; ship 3 fixes.</t>
  </si>
  <si>
    <t xml:space="preserve">S-251; S-252</t>
  </si>
  <si>
    <t xml:space="preserve">S-254</t>
  </si>
  <si>
    <t xml:space="preserve">i18n scaffolding (EN/SI/ES/DE/FR)</t>
  </si>
  <si>
    <t xml:space="preserve">SI ships first; RTL-ready.</t>
  </si>
  <si>
    <t xml:space="preserve">S-255</t>
  </si>
  <si>
    <t xml:space="preserve">SI launch microsite + press</t>
  </si>
  <si>
    <t xml:space="preserve">RTV/Delo/Finance briefed.</t>
  </si>
  <si>
    <t xml:space="preserve">S-254; S-193</t>
  </si>
  <si>
    <t xml:space="preserve">S-256</t>
  </si>
  <si>
    <t xml:space="preserve">Phase 2 retro + Phase 3 readiness</t>
  </si>
  <si>
    <t xml:space="preserve">30-day retro; Phase 3 unblocked.</t>
  </si>
  <si>
    <t xml:space="preserve">S-301</t>
  </si>
  <si>
    <t xml:space="preserve">Phase 3</t>
  </si>
  <si>
    <t xml:space="preserve">BaaS / EMI partner shortlist</t>
  </si>
  <si>
    <t xml:space="preserve">5 EU + 3 US partners; pricing &amp; lead-time doc.</t>
  </si>
  <si>
    <t xml:space="preserve">S-302</t>
  </si>
  <si>
    <t xml:space="preserve">Partner selection + term sheet</t>
  </si>
  <si>
    <t xml:space="preserve">Signed term sheet in data room.</t>
  </si>
  <si>
    <t xml:space="preserve">S-303</t>
  </si>
  <si>
    <t xml:space="preserve">KYC vendor selection</t>
  </si>
  <si>
    <t xml:space="preserve">Sandbox connected; tested in 3 EU + US.</t>
  </si>
  <si>
    <t xml:space="preserve">S-304</t>
  </si>
  <si>
    <t xml:space="preserve">AML / sanctions screening</t>
  </si>
  <si>
    <t xml:space="preserve">OFAC/EU/UN screening; FP resolution.</t>
  </si>
  <si>
    <t xml:space="preserve">S-305</t>
  </si>
  <si>
    <t xml:space="preserve">PSD2 / SCA compliance design</t>
  </si>
  <si>
    <t xml:space="preserve">Biometric SCA for &gt;€30; partner sign-off.</t>
  </si>
  <si>
    <t xml:space="preserve">S-306</t>
  </si>
  <si>
    <t xml:space="preserve">VAP Terms + fee schedule</t>
  </si>
  <si>
    <t xml:space="preserve">Terms §14; lawyer-reviewed; behind flag.</t>
  </si>
  <si>
    <t xml:space="preserve">S-311</t>
  </si>
  <si>
    <t xml:space="preserve">Wallet entry point in profile</t>
  </si>
  <si>
    <t xml:space="preserve">Hidden behind 'vap' flag.</t>
  </si>
  <si>
    <t xml:space="preserve">S-186; S-306</t>
  </si>
  <si>
    <t xml:space="preserve">S-312</t>
  </si>
  <si>
    <t xml:space="preserve">Wallet onboarding (KYC handoff)</t>
  </si>
  <si>
    <t xml:space="preserve">Decline reasons surfaced cleanly.</t>
  </si>
  <si>
    <t xml:space="preserve">S-303; S-311</t>
  </si>
  <si>
    <t xml:space="preserve">S-313</t>
  </si>
  <si>
    <t xml:space="preserve">Wallet home: balance + last 7 tx</t>
  </si>
  <si>
    <t xml:space="preserve">Pull-to-refresh; stale-state CTA.</t>
  </si>
  <si>
    <t xml:space="preserve">S-314</t>
  </si>
  <si>
    <t xml:space="preserve">Top-up via card / SEPA</t>
  </si>
  <si>
    <t xml:space="preserve">Apple/Google Pay + SEPA; sandbox passes.</t>
  </si>
  <si>
    <t xml:space="preserve">S-315</t>
  </si>
  <si>
    <t xml:space="preserve">Withdraw to bank</t>
  </si>
  <si>
    <t xml:space="preserve">Cooldown + 2FA on first; SEPA.</t>
  </si>
  <si>
    <t xml:space="preserve">S-316</t>
  </si>
  <si>
    <t xml:space="preserve">Statements + receipts</t>
  </si>
  <si>
    <t xml:space="preserve">Monthly PDF; per-tx receipt.</t>
  </si>
  <si>
    <t xml:space="preserve">S-321</t>
  </si>
  <si>
    <t xml:space="preserve">Virtual MasterCard issuance</t>
  </si>
  <si>
    <t xml:space="preserve">PAN biometric-gated; Apple/Google Wallet.</t>
  </si>
  <si>
    <t xml:space="preserve">S-322</t>
  </si>
  <si>
    <t xml:space="preserve">Card controls</t>
  </si>
  <si>
    <t xml:space="preserve">Freeze, daily limit, region whitelist.</t>
  </si>
  <si>
    <t xml:space="preserve">S-323</t>
  </si>
  <si>
    <t xml:space="preserve">3DS / SCA push challenges</t>
  </si>
  <si>
    <t xml:space="preserve">Challenge → approve &lt;7 s p95.</t>
  </si>
  <si>
    <t xml:space="preserve">S-321; S-305</t>
  </si>
  <si>
    <t xml:space="preserve">S-324</t>
  </si>
  <si>
    <t xml:space="preserve">Card disputes flow</t>
  </si>
  <si>
    <t xml:space="preserve">Self-serve; partner SLA tracked.</t>
  </si>
  <si>
    <t xml:space="preserve">S-331</t>
  </si>
  <si>
    <t xml:space="preserve">P2P transfer to a contact</t>
  </si>
  <si>
    <t xml:space="preserve">'Send €' from thread; 7 P2P/day on free wallet.</t>
  </si>
  <si>
    <t xml:space="preserve">S-332</t>
  </si>
  <si>
    <t xml:space="preserve">Request money from contact</t>
  </si>
  <si>
    <t xml:space="preserve">'Request €' inline; 7-day expiry.</t>
  </si>
  <si>
    <t xml:space="preserve">S-333</t>
  </si>
  <si>
    <t xml:space="preserve">Split bill (up to 7 people)</t>
  </si>
  <si>
    <t xml:space="preserve">Auto-balance; remainder to initiator.</t>
  </si>
  <si>
    <t xml:space="preserve">S-334</t>
  </si>
  <si>
    <t xml:space="preserve">Merchant pay (QR / link)</t>
  </si>
  <si>
    <t xml:space="preserve">Sandbox merchant flow works.</t>
  </si>
  <si>
    <t xml:space="preserve">S-335</t>
  </si>
  <si>
    <t xml:space="preserve">Cashback / promo credits</t>
  </si>
  <si>
    <t xml:space="preserve">Wallet balance credits; promo expiry.</t>
  </si>
  <si>
    <t xml:space="preserve">S-341</t>
  </si>
  <si>
    <t xml:space="preserve">Closed beta to 700 wallets</t>
  </si>
  <si>
    <t xml:space="preserve">Whitelist; predefined KPIs.</t>
  </si>
  <si>
    <t xml:space="preserve">S-321; S-331</t>
  </si>
  <si>
    <t xml:space="preserve">S-342</t>
  </si>
  <si>
    <t xml:space="preserve">Fraud monitoring</t>
  </si>
  <si>
    <t xml:space="preserve">Velocity, device-binding, geo-velocity.</t>
  </si>
  <si>
    <t xml:space="preserve">S-343</t>
  </si>
  <si>
    <t xml:space="preserve">CS tooling for VAP</t>
  </si>
  <si>
    <t xml:space="preserve">Read-only wallet view (no PAN); 2 agents trained.</t>
  </si>
  <si>
    <t xml:space="preserve">S-344</t>
  </si>
  <si>
    <t xml:space="preserve">Phase 3 PUBLIC LAUNCH</t>
  </si>
  <si>
    <t xml:space="preserve">Flip flag for eligible regions; status green 7d.</t>
  </si>
  <si>
    <t xml:space="preserve">S-341..S-343</t>
  </si>
  <si>
    <t xml:space="preserve">S-345</t>
  </si>
  <si>
    <t xml:space="preserve">Phase 3 retro + Series A readiness</t>
  </si>
  <si>
    <t xml:space="preserve">Refreshed deck v2 in data room.</t>
  </si>
  <si>
    <t xml:space="preserve">B-001</t>
  </si>
  <si>
    <t xml:space="preserve">Business</t>
  </si>
  <si>
    <t xml:space="preserve">Pick legal home (US C-corp + SI sub)</t>
  </si>
  <si>
    <t xml:space="preserve">Decision memo signed by Paul + Joze.</t>
  </si>
  <si>
    <t xml:space="preserve">B-002</t>
  </si>
  <si>
    <t xml:space="preserve">50/50 cap-table draft</t>
  </si>
  <si>
    <t xml:space="preserve">ESOP 10%; 4y/1y vest.</t>
  </si>
  <si>
    <t xml:space="preserve">B-003</t>
  </si>
  <si>
    <t xml:space="preserve">Engage formation counsel (US + SI)</t>
  </si>
  <si>
    <t xml:space="preserve">Engagement letters signed.</t>
  </si>
  <si>
    <t xml:space="preserve">B-004</t>
  </si>
  <si>
    <t xml:space="preserve">IP assignment from founders to NewCo</t>
  </si>
  <si>
    <t xml:space="preserve">Signed assignments stored.</t>
  </si>
  <si>
    <t xml:space="preserve">B-005</t>
  </si>
  <si>
    <t xml:space="preserve">Trademark search + filing (US/EU/SI)</t>
  </si>
  <si>
    <t xml:space="preserve">3-jurisdiction search; priority filed.</t>
  </si>
  <si>
    <t xml:space="preserve">B-006</t>
  </si>
  <si>
    <t xml:space="preserve">Define €1M angel offer</t>
  </si>
  <si>
    <t xml:space="preserve">Two options: SAFE €10M cap vs Series Seed €8M pre.</t>
  </si>
  <si>
    <t xml:space="preserve">B-007</t>
  </si>
  <si>
    <t xml:space="preserve">Investor data-room build</t>
  </si>
  <si>
    <t xml:space="preserve">Mirror /pitch privately; NDA-gated extras.</t>
  </si>
  <si>
    <t xml:space="preserve">S-158; B-002; B-006</t>
  </si>
  <si>
    <t xml:space="preserve">B-008</t>
  </si>
  <si>
    <t xml:space="preserve">Pitch deck v2 (12 slides)</t>
  </si>
  <si>
    <t xml:space="preserve">Problem → Rule of 7 → traction → roadmap → ask.</t>
  </si>
  <si>
    <t xml:space="preserve">B-009</t>
  </si>
  <si>
    <t xml:space="preserve">Boscarol-track outreach (Slovenia)</t>
  </si>
  <si>
    <t xml:space="preserve">Intro mapping; SI script; first ask sent.</t>
  </si>
  <si>
    <t xml:space="preserve">B-010</t>
  </si>
  <si>
    <t xml:space="preserve">Diversify: 7 SI/EU + 7 US angels</t>
  </si>
  <si>
    <t xml:space="preserve">14-name target list with rationale.</t>
  </si>
  <si>
    <t xml:space="preserve">B-011</t>
  </si>
  <si>
    <t xml:space="preserve">Capital plan (use of funds, by quarter)</t>
  </si>
  <si>
    <t xml:space="preserve">Quarterly burn vs milestones; 18-mo runway.</t>
  </si>
  <si>
    <t xml:space="preserve">B-012</t>
  </si>
  <si>
    <t xml:space="preserve">Close the round</t>
  </si>
  <si>
    <t xml:space="preserve">Sign + wire; cap-table updated; embargoed announcement.</t>
  </si>
  <si>
    <t xml:space="preserve">B-009 or B-010</t>
  </si>
  <si>
    <t xml:space="preserve">S-009</t>
  </si>
  <si>
    <t xml:space="preserve">Contact email migration to info@copyme1.com</t>
  </si>
  <si>
    <t xml:space="preserve">Replace interactiveintel@gmail.com everywhere; DNS+SPF+DKIM+DMARC; old gmail kept as 90-day alias.</t>
  </si>
  <si>
    <t xml:space="preserve">NEW per Feedback 3 (2026-05-10) — confirm copyme1.com is registered first</t>
  </si>
  <si>
    <t xml:space="preserve">S-010</t>
  </si>
  <si>
    <t xml:space="preserve">Hero: add 'Your World's chart of Communication' as H2</t>
  </si>
  <si>
    <t xml:space="preserve">Below H1 'Communication That Matters' insert H2; OG regenerated.</t>
  </si>
  <si>
    <t xml:space="preserve">NEW per Feedback 3 (2026-05-10)</t>
  </si>
  <si>
    <t xml:space="preserve">B-013</t>
  </si>
  <si>
    <t xml:space="preserve">Use of proceeds — €1M breakdown</t>
  </si>
  <si>
    <t xml:space="preserve">Per-line use of funds by category and quarter, summing exactly to €1M; tied to milestones.</t>
  </si>
  <si>
    <t xml:space="preserve">NEW per Feedback 3 — Joze asked 'Show use of proceeds'</t>
  </si>
  <si>
    <t xml:space="preserve">B-014</t>
  </si>
  <si>
    <t xml:space="preserve">Additional investor target list (≥21 names)</t>
  </si>
  <si>
    <t xml:space="preserve">7 SI/EU + 7 US + 7 strategic/corporate; rationale + intro path; ranked.</t>
  </si>
  <si>
    <t xml:space="preserve">NEW per Feedback 3 — Joze asked 'Search for other potential targets'</t>
  </si>
  <si>
    <t xml:space="preserve">B-015</t>
  </si>
  <si>
    <t xml:space="preserve">Timeline-to-launch communique for Joze</t>
  </si>
  <si>
    <t xml:space="preserve">1-page public-shareable timeline with G0..G3 gates; md + pdf.</t>
  </si>
  <si>
    <t xml:space="preserve">NEW per Feedback 3 — Joze asked for time estimation</t>
  </si>
  <si>
    <t xml:space="preserve">B-016</t>
  </si>
  <si>
    <t xml:space="preserve">Definition of 'Customer-ready' gate</t>
  </si>
  <si>
    <t xml:space="preserve">Written definition (Functional/Trust/Ops/Regional bars + sign-off matrix).</t>
  </si>
  <si>
    <t xml:space="preserve">NEW per Feedback 3 — Joze asked 'Where is the point where clients can apply'</t>
  </si>
  <si>
    <t xml:space="preserve">CopyMe Sprint Dashboard</t>
  </si>
  <si>
    <t xml:space="preserve">Overall progress</t>
  </si>
  <si>
    <t xml:space="preserve">By Phase</t>
  </si>
  <si>
    <t xml:space="preserve">By Workstream</t>
  </si>
  <si>
    <t xml:space="preserve">Total sprints</t>
  </si>
  <si>
    <t xml:space="preserve">Total</t>
  </si>
  <si>
    <t xml:space="preserve">Done</t>
  </si>
  <si>
    <t xml:space="preserve">% complete</t>
  </si>
  <si>
    <t xml:space="preserve">In progress</t>
  </si>
  <si>
    <t xml:space="preserve">Blocked</t>
  </si>
  <si>
    <t xml:space="preserve">To do</t>
  </si>
  <si>
    <t xml:space="preserve">Hours remaining (est)</t>
  </si>
  <si>
    <t xml:space="preserve">#</t>
  </si>
  <si>
    <t xml:space="preserve">Date received</t>
  </si>
  <si>
    <t xml:space="preserve">From</t>
  </si>
  <si>
    <t xml:space="preserve">Topic</t>
  </si>
  <si>
    <t xml:space="preserve">Joze's request (verbatim or paraphrase)</t>
  </si>
  <si>
    <t xml:space="preserve">Closed by sprint(s)</t>
  </si>
  <si>
    <t xml:space="preserve">2026-05-07</t>
  </si>
  <si>
    <t xml:space="preserve">Jože</t>
  </si>
  <si>
    <t xml:space="preserve">Hero copy</t>
  </si>
  <si>
    <t xml:space="preserve">First contact when opening CopyMe page is too dense. Rule of 7 should be felt, not enumerated. Move details to T&amp;C.</t>
  </si>
  <si>
    <t xml:space="preserve">S-001, S-002, S-003</t>
  </si>
  <si>
    <t xml:space="preserve">New main headline: 'Your World's chart of Communication'.</t>
  </si>
  <si>
    <t xml:space="preserve">Subhead: 'Rule of 7 — A revolutionary constraint system that replaces noise with meaning. Less is more, giving meaning to messages. Infinite impact.'</t>
  </si>
  <si>
    <t xml:space="preserve">Terms</t>
  </si>
  <si>
    <t xml:space="preserve">Rule-of-7 details (70 words, 7 contacts, last-7 retention) belong in T&amp;C, not on landing.</t>
  </si>
  <si>
    <t xml:space="preserve">Suspension wording: 'Accounts that break these rules may be suspended' (and fix typo 'suspened').</t>
  </si>
  <si>
    <t xml:space="preserve">Logo</t>
  </si>
  <si>
    <t xml:space="preserve">Like the logo — drop the 'Rule of 7' script underneath.</t>
  </si>
  <si>
    <t xml:space="preserve">Could we add a small globe with a man in front, as on the original paper?</t>
  </si>
  <si>
    <t xml:space="preserve">Phone auth</t>
  </si>
  <si>
    <t xml:space="preserve">Add country code +386 (Slovenia) so we can test on phones.</t>
  </si>
  <si>
    <t xml:space="preserve">QA</t>
  </si>
  <si>
    <t xml:space="preserve">When technically ready, test on the phones and communication.</t>
  </si>
  <si>
    <t xml:space="preserve">2026-05-10</t>
  </si>
  <si>
    <t xml:space="preserve">Hero correction</t>
  </si>
  <si>
    <t xml:space="preserve">Keep 'Communication That Matters' as H1 (was never meant to be removed); 'Your World's chart of Communication' is the H2 below it.</t>
  </si>
  <si>
    <t xml:space="preserve">S-001 (corrected), S-010</t>
  </si>
  <si>
    <t xml:space="preserve">Contact email</t>
  </si>
  <si>
    <t xml:space="preserve">Change interactiveintel@gmail.com to info@copyme1.com everywhere.</t>
  </si>
  <si>
    <t xml:space="preserve">Investors</t>
  </si>
  <si>
    <t xml:space="preserve">Search for other potential investment targets and provide a list (beyond Boscarol).</t>
  </si>
  <si>
    <t xml:space="preserve">Timeline</t>
  </si>
  <si>
    <t xml:space="preserve">Establish a time estimation for when app is technically ready to run and grow.</t>
  </si>
  <si>
    <t xml:space="preserve">Launch gate</t>
  </si>
  <si>
    <t xml:space="preserve">Where is the point where clients can apply (define customer-ready).</t>
  </si>
  <si>
    <t xml:space="preserve">Use of funds</t>
  </si>
  <si>
    <t xml:space="preserve">Show use of proceeds for the €1M.</t>
  </si>
  <si>
    <t xml:space="preserve">Feedback 3 (2026-05-10) — what's new</t>
  </si>
  <si>
    <t xml:space="preserve">5 new asks beyond what Feedback 2 already covered.</t>
  </si>
  <si>
    <t xml:space="preserve">Ask</t>
  </si>
  <si>
    <t xml:space="preserve">New sprint(s)</t>
  </si>
  <si>
    <t xml:space="preserve">Target close</t>
  </si>
  <si>
    <t xml:space="preserve">Hero — keep 'Communication That Matters'; add H2</t>
  </si>
  <si>
    <t xml:space="preserve">2026-05-12</t>
  </si>
  <si>
    <t xml:space="preserve">Contact email → info@copyme1.com</t>
  </si>
  <si>
    <t xml:space="preserve">Use of proceeds for €1M</t>
  </si>
  <si>
    <t xml:space="preserve">2026-05-29</t>
  </si>
  <si>
    <t xml:space="preserve">Additional investor target list (≥21)</t>
  </si>
  <si>
    <t xml:space="preserve">Timeline-to-launch communique</t>
  </si>
  <si>
    <t xml:space="preserve">2026-05-13</t>
  </si>
  <si>
    <t xml:space="preserve">Definition of 'Customer-ready'</t>
  </si>
  <si>
    <t xml:space="preserve">Capital Plan — €1M angel raise (placeholder)</t>
  </si>
  <si>
    <t xml:space="preserve">Note: Refine in sprint B-011. All figures in EUR.</t>
  </si>
  <si>
    <t xml:space="preserve">Quarter</t>
  </si>
  <si>
    <t xml:space="preserve">Eng salaries</t>
  </si>
  <si>
    <t xml:space="preserve">Infra/Vercel/SMS/AI</t>
  </si>
  <si>
    <t xml:space="preserve">Legal/Compliance</t>
  </si>
  <si>
    <t xml:space="preserve">Marketing/PR</t>
  </si>
  <si>
    <t xml:space="preserve">Other</t>
  </si>
  <si>
    <t xml:space="preserve">Quarter total</t>
  </si>
  <si>
    <t xml:space="preserve">Cumulative spend</t>
  </si>
  <si>
    <t xml:space="preserve">Remaining of €1M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</si>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</sst>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\€#,##0;&quot;(€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3"/>
      <color rgb="FF1F2A4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CEFF1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FFF59D"/>
        </patternFill>
      </fill>
    </dxf>
    <dxf>
      <fill>
        <patternFill>
          <bgColor rgb="FFFFCDD2"/>
        </patternFill>
      </fill>
    </dxf>
    <dxf>
      <fill>
        <patternFill>
          <bgColor rgb="FFECEFF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CEF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59D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.75" hidden="false" customHeight="true" outlineLevel="0" collapsed="false">
      <c r="A7" s="4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/>
    </row>
    <row r="15" customFormat="false" ht="15.7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3" t="s">
        <v>12</v>
      </c>
    </row>
    <row r="17" customFormat="false" ht="15" hidden="false" customHeight="true" outlineLevel="0" collapsed="false">
      <c r="A17" s="3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/>
    </row>
    <row r="22" customFormat="false" ht="15.75" hidden="false" customHeight="true" outlineLevel="0" collapsed="false">
      <c r="A22" s="4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 t="s">
        <v>19</v>
      </c>
    </row>
    <row r="25" customFormat="false" ht="15" hidden="false" customHeight="true" outlineLevel="0" collapsed="false">
      <c r="A25" s="3" t="s">
        <v>20</v>
      </c>
    </row>
    <row r="26" customFormat="false" ht="15" hidden="false" customHeight="true" outlineLevel="0" collapsed="false">
      <c r="A26" s="3" t="s">
        <v>21</v>
      </c>
    </row>
    <row r="27" customFormat="false" ht="15" hidden="false" customHeight="true" outlineLevel="0" collapsed="false">
      <c r="A27" s="3" t="s">
        <v>22</v>
      </c>
    </row>
    <row r="29" customFormat="false" ht="16.15" hidden="false" customHeight="false" outlineLevel="0" collapsed="false">
      <c r="A29" s="5" t="s">
        <v>23</v>
      </c>
    </row>
    <row r="30" customFormat="false" ht="15" hidden="false" customHeight="false" outlineLevel="0" collapsed="false">
      <c r="A30" s="6" t="s">
        <v>24</v>
      </c>
    </row>
    <row r="31" customFormat="false" ht="26.85" hidden="false" customHeight="false" outlineLevel="0" collapsed="false">
      <c r="A31" s="6" t="s">
        <v>25</v>
      </c>
    </row>
    <row r="32" customFormat="false" ht="15" hidden="false" customHeight="false" outlineLevel="0" collapsed="false">
      <c r="A32" s="6" t="s">
        <v>26</v>
      </c>
    </row>
    <row r="33" customFormat="false" ht="15" hidden="false" customHeight="false" outlineLevel="0" collapsed="false">
      <c r="A33" s="6" t="s">
        <v>27</v>
      </c>
    </row>
    <row r="34" customFormat="false" ht="15" hidden="false" customHeight="false" outlineLevel="0" collapsed="false">
      <c r="A34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1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60"/>
    <col collapsed="false" customWidth="true" hidden="false" outlineLevel="0" max="6" min="6" style="1" width="22"/>
    <col collapsed="false" customWidth="true" hidden="false" outlineLevel="0" max="7" min="7" style="1" width="14"/>
    <col collapsed="false" customWidth="true" hidden="false" outlineLevel="0" max="8" min="8" style="1" width="13"/>
    <col collapsed="false" customWidth="true" hidden="false" outlineLevel="0" max="10" min="9" style="1" width="10"/>
    <col collapsed="false" customWidth="true" hidden="false" outlineLevel="0" max="12" min="11" style="1" width="12"/>
    <col collapsed="false" customWidth="true" hidden="false" outlineLevel="0" max="13" min="13" style="1" width="30"/>
  </cols>
  <sheetData>
    <row r="1" customFormat="false" ht="31.5" hidden="false" customHeight="true" outlineLevel="0" collapsed="false">
      <c r="A1" s="7" t="s">
        <v>29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</row>
    <row r="2" customFormat="false" ht="36" hidden="false" customHeight="true" outlineLevel="0" collapsed="false">
      <c r="A2" s="8" t="s">
        <v>42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/>
      <c r="H2" s="8" t="s">
        <v>48</v>
      </c>
      <c r="I2" s="8" t="n">
        <v>1</v>
      </c>
      <c r="J2" s="8"/>
      <c r="K2" s="8"/>
      <c r="L2" s="8"/>
      <c r="M2" s="8" t="s">
        <v>49</v>
      </c>
    </row>
    <row r="3" customFormat="false" ht="36" hidden="false" customHeight="true" outlineLevel="0" collapsed="false">
      <c r="A3" s="8" t="s">
        <v>50</v>
      </c>
      <c r="B3" s="8" t="s">
        <v>43</v>
      </c>
      <c r="C3" s="8" t="s">
        <v>44</v>
      </c>
      <c r="D3" s="8" t="s">
        <v>51</v>
      </c>
      <c r="E3" s="8" t="s">
        <v>52</v>
      </c>
      <c r="F3" s="8" t="s">
        <v>42</v>
      </c>
      <c r="G3" s="8"/>
      <c r="H3" s="8" t="s">
        <v>48</v>
      </c>
      <c r="I3" s="8" t="n">
        <v>1</v>
      </c>
      <c r="J3" s="8"/>
      <c r="K3" s="8"/>
      <c r="L3" s="8"/>
      <c r="M3" s="8"/>
    </row>
    <row r="4" customFormat="false" ht="36" hidden="false" customHeight="true" outlineLevel="0" collapsed="false">
      <c r="A4" s="8" t="s">
        <v>53</v>
      </c>
      <c r="B4" s="8" t="s">
        <v>43</v>
      </c>
      <c r="C4" s="8" t="s">
        <v>54</v>
      </c>
      <c r="D4" s="8" t="s">
        <v>55</v>
      </c>
      <c r="E4" s="8" t="s">
        <v>56</v>
      </c>
      <c r="F4" s="8" t="s">
        <v>50</v>
      </c>
      <c r="G4" s="8"/>
      <c r="H4" s="8" t="s">
        <v>48</v>
      </c>
      <c r="I4" s="8" t="n">
        <v>1</v>
      </c>
      <c r="J4" s="8"/>
      <c r="K4" s="8"/>
      <c r="L4" s="8"/>
      <c r="M4" s="8"/>
    </row>
    <row r="5" customFormat="false" ht="36" hidden="false" customHeight="true" outlineLevel="0" collapsed="false">
      <c r="A5" s="8" t="s">
        <v>57</v>
      </c>
      <c r="B5" s="8" t="s">
        <v>43</v>
      </c>
      <c r="C5" s="8" t="s">
        <v>54</v>
      </c>
      <c r="D5" s="8" t="s">
        <v>58</v>
      </c>
      <c r="E5" s="8" t="s">
        <v>59</v>
      </c>
      <c r="F5" s="8" t="s">
        <v>47</v>
      </c>
      <c r="G5" s="8"/>
      <c r="H5" s="8" t="s">
        <v>48</v>
      </c>
      <c r="I5" s="8" t="n">
        <v>1</v>
      </c>
      <c r="J5" s="8"/>
      <c r="K5" s="8"/>
      <c r="L5" s="8"/>
      <c r="M5" s="8"/>
    </row>
    <row r="6" customFormat="false" ht="36" hidden="false" customHeight="true" outlineLevel="0" collapsed="false">
      <c r="A6" s="8" t="s">
        <v>60</v>
      </c>
      <c r="B6" s="8" t="s">
        <v>43</v>
      </c>
      <c r="C6" s="8" t="s">
        <v>44</v>
      </c>
      <c r="D6" s="8" t="s">
        <v>61</v>
      </c>
      <c r="E6" s="8" t="s">
        <v>62</v>
      </c>
      <c r="F6" s="8" t="s">
        <v>47</v>
      </c>
      <c r="G6" s="8"/>
      <c r="H6" s="8" t="s">
        <v>48</v>
      </c>
      <c r="I6" s="8" t="n">
        <v>1</v>
      </c>
      <c r="J6" s="8"/>
      <c r="K6" s="8"/>
      <c r="L6" s="8"/>
      <c r="M6" s="8"/>
    </row>
    <row r="7" customFormat="false" ht="36" hidden="false" customHeight="true" outlineLevel="0" collapsed="false">
      <c r="A7" s="8" t="s">
        <v>63</v>
      </c>
      <c r="B7" s="8" t="s">
        <v>43</v>
      </c>
      <c r="C7" s="8" t="s">
        <v>44</v>
      </c>
      <c r="D7" s="8" t="s">
        <v>64</v>
      </c>
      <c r="E7" s="8" t="s">
        <v>65</v>
      </c>
      <c r="F7" s="8" t="s">
        <v>60</v>
      </c>
      <c r="G7" s="8"/>
      <c r="H7" s="8" t="s">
        <v>48</v>
      </c>
      <c r="I7" s="8" t="n">
        <v>1</v>
      </c>
      <c r="J7" s="8"/>
      <c r="K7" s="8"/>
      <c r="L7" s="8"/>
      <c r="M7" s="8"/>
    </row>
    <row r="8" customFormat="false" ht="36" hidden="false" customHeight="true" outlineLevel="0" collapsed="false">
      <c r="A8" s="8" t="s">
        <v>66</v>
      </c>
      <c r="B8" s="8" t="s">
        <v>43</v>
      </c>
      <c r="C8" s="8" t="s">
        <v>67</v>
      </c>
      <c r="D8" s="8" t="s">
        <v>68</v>
      </c>
      <c r="E8" s="8" t="s">
        <v>69</v>
      </c>
      <c r="F8" s="8" t="s">
        <v>47</v>
      </c>
      <c r="G8" s="8"/>
      <c r="H8" s="8" t="s">
        <v>48</v>
      </c>
      <c r="I8" s="8" t="n">
        <v>1</v>
      </c>
      <c r="J8" s="8"/>
      <c r="K8" s="8"/>
      <c r="L8" s="8"/>
      <c r="M8" s="8"/>
    </row>
    <row r="9" customFormat="false" ht="36" hidden="false" customHeight="true" outlineLevel="0" collapsed="false">
      <c r="A9" s="8" t="s">
        <v>70</v>
      </c>
      <c r="B9" s="8" t="s">
        <v>43</v>
      </c>
      <c r="C9" s="8" t="s">
        <v>44</v>
      </c>
      <c r="D9" s="8" t="s">
        <v>71</v>
      </c>
      <c r="E9" s="8" t="s">
        <v>72</v>
      </c>
      <c r="F9" s="8" t="s">
        <v>73</v>
      </c>
      <c r="G9" s="8"/>
      <c r="H9" s="8" t="s">
        <v>48</v>
      </c>
      <c r="I9" s="8" t="n">
        <v>1</v>
      </c>
      <c r="J9" s="8"/>
      <c r="K9" s="8"/>
      <c r="L9" s="8"/>
      <c r="M9" s="8"/>
    </row>
    <row r="10" customFormat="false" ht="36" hidden="false" customHeight="true" outlineLevel="0" collapsed="false">
      <c r="A10" s="8" t="s">
        <v>74</v>
      </c>
      <c r="B10" s="8" t="s">
        <v>75</v>
      </c>
      <c r="C10" s="8" t="s">
        <v>67</v>
      </c>
      <c r="D10" s="8" t="s">
        <v>76</v>
      </c>
      <c r="E10" s="8" t="s">
        <v>77</v>
      </c>
      <c r="F10" s="8" t="s">
        <v>66</v>
      </c>
      <c r="G10" s="8"/>
      <c r="H10" s="8" t="s">
        <v>48</v>
      </c>
      <c r="I10" s="8" t="n">
        <v>1</v>
      </c>
      <c r="J10" s="8"/>
      <c r="K10" s="8"/>
      <c r="L10" s="8"/>
      <c r="M10" s="8"/>
    </row>
    <row r="11" customFormat="false" ht="36" hidden="false" customHeight="true" outlineLevel="0" collapsed="false">
      <c r="A11" s="8" t="s">
        <v>78</v>
      </c>
      <c r="B11" s="8" t="s">
        <v>75</v>
      </c>
      <c r="C11" s="8" t="s">
        <v>67</v>
      </c>
      <c r="D11" s="8" t="s">
        <v>79</v>
      </c>
      <c r="E11" s="8" t="s">
        <v>80</v>
      </c>
      <c r="F11" s="8" t="s">
        <v>66</v>
      </c>
      <c r="G11" s="8"/>
      <c r="H11" s="8" t="s">
        <v>48</v>
      </c>
      <c r="I11" s="8" t="n">
        <v>1</v>
      </c>
      <c r="J11" s="8"/>
      <c r="K11" s="8"/>
      <c r="L11" s="8"/>
      <c r="M11" s="8"/>
    </row>
    <row r="12" customFormat="false" ht="36" hidden="false" customHeight="true" outlineLevel="0" collapsed="false">
      <c r="A12" s="8" t="s">
        <v>81</v>
      </c>
      <c r="B12" s="8" t="s">
        <v>75</v>
      </c>
      <c r="C12" s="8" t="s">
        <v>67</v>
      </c>
      <c r="D12" s="8" t="s">
        <v>82</v>
      </c>
      <c r="E12" s="8" t="s">
        <v>83</v>
      </c>
      <c r="F12" s="8" t="s">
        <v>74</v>
      </c>
      <c r="G12" s="8"/>
      <c r="H12" s="8" t="s">
        <v>48</v>
      </c>
      <c r="I12" s="8" t="n">
        <v>1</v>
      </c>
      <c r="J12" s="8"/>
      <c r="K12" s="8"/>
      <c r="L12" s="8"/>
      <c r="M12" s="8"/>
    </row>
    <row r="13" customFormat="false" ht="36" hidden="false" customHeight="true" outlineLevel="0" collapsed="false">
      <c r="A13" s="8" t="s">
        <v>84</v>
      </c>
      <c r="B13" s="8" t="s">
        <v>75</v>
      </c>
      <c r="C13" s="8" t="s">
        <v>44</v>
      </c>
      <c r="D13" s="8" t="s">
        <v>85</v>
      </c>
      <c r="E13" s="8" t="s">
        <v>86</v>
      </c>
      <c r="F13" s="8" t="s">
        <v>74</v>
      </c>
      <c r="G13" s="8"/>
      <c r="H13" s="8" t="s">
        <v>48</v>
      </c>
      <c r="I13" s="8" t="n">
        <v>1</v>
      </c>
      <c r="J13" s="8"/>
      <c r="K13" s="8"/>
      <c r="L13" s="8"/>
      <c r="M13" s="8"/>
    </row>
    <row r="14" customFormat="false" ht="36" hidden="false" customHeight="true" outlineLevel="0" collapsed="false">
      <c r="A14" s="8" t="s">
        <v>87</v>
      </c>
      <c r="B14" s="8" t="s">
        <v>75</v>
      </c>
      <c r="C14" s="8" t="s">
        <v>44</v>
      </c>
      <c r="D14" s="8" t="s">
        <v>88</v>
      </c>
      <c r="E14" s="8" t="s">
        <v>89</v>
      </c>
      <c r="F14" s="8" t="s">
        <v>74</v>
      </c>
      <c r="G14" s="8"/>
      <c r="H14" s="8" t="s">
        <v>48</v>
      </c>
      <c r="I14" s="8" t="n">
        <v>1</v>
      </c>
      <c r="J14" s="8"/>
      <c r="K14" s="8"/>
      <c r="L14" s="8"/>
      <c r="M14" s="8"/>
    </row>
    <row r="15" customFormat="false" ht="36" hidden="false" customHeight="true" outlineLevel="0" collapsed="false">
      <c r="A15" s="8" t="s">
        <v>90</v>
      </c>
      <c r="B15" s="8" t="s">
        <v>75</v>
      </c>
      <c r="C15" s="8" t="s">
        <v>67</v>
      </c>
      <c r="D15" s="8" t="s">
        <v>91</v>
      </c>
      <c r="E15" s="8" t="s">
        <v>92</v>
      </c>
      <c r="F15" s="8" t="s">
        <v>74</v>
      </c>
      <c r="G15" s="8"/>
      <c r="H15" s="8" t="s">
        <v>48</v>
      </c>
      <c r="I15" s="8" t="n">
        <v>1</v>
      </c>
      <c r="J15" s="8"/>
      <c r="K15" s="8"/>
      <c r="L15" s="8"/>
      <c r="M15" s="8"/>
    </row>
    <row r="16" customFormat="false" ht="36" hidden="false" customHeight="true" outlineLevel="0" collapsed="false">
      <c r="A16" s="8" t="s">
        <v>93</v>
      </c>
      <c r="B16" s="8" t="s">
        <v>75</v>
      </c>
      <c r="C16" s="8" t="s">
        <v>67</v>
      </c>
      <c r="D16" s="8" t="s">
        <v>94</v>
      </c>
      <c r="E16" s="8" t="s">
        <v>95</v>
      </c>
      <c r="F16" s="8" t="s">
        <v>90</v>
      </c>
      <c r="G16" s="8"/>
      <c r="H16" s="8" t="s">
        <v>48</v>
      </c>
      <c r="I16" s="8" t="n">
        <v>1</v>
      </c>
      <c r="J16" s="8"/>
      <c r="K16" s="8"/>
      <c r="L16" s="8"/>
      <c r="M16" s="8"/>
    </row>
    <row r="17" customFormat="false" ht="36" hidden="false" customHeight="true" outlineLevel="0" collapsed="false">
      <c r="A17" s="8" t="s">
        <v>96</v>
      </c>
      <c r="B17" s="8" t="s">
        <v>75</v>
      </c>
      <c r="C17" s="8" t="s">
        <v>54</v>
      </c>
      <c r="D17" s="8" t="s">
        <v>97</v>
      </c>
      <c r="E17" s="8" t="s">
        <v>98</v>
      </c>
      <c r="F17" s="8" t="s">
        <v>90</v>
      </c>
      <c r="G17" s="8"/>
      <c r="H17" s="8" t="s">
        <v>48</v>
      </c>
      <c r="I17" s="8" t="n">
        <v>1</v>
      </c>
      <c r="J17" s="8"/>
      <c r="K17" s="8"/>
      <c r="L17" s="8"/>
      <c r="M17" s="8"/>
    </row>
    <row r="18" customFormat="false" ht="36" hidden="false" customHeight="true" outlineLevel="0" collapsed="false">
      <c r="A18" s="8" t="s">
        <v>99</v>
      </c>
      <c r="B18" s="8" t="s">
        <v>75</v>
      </c>
      <c r="C18" s="8" t="s">
        <v>54</v>
      </c>
      <c r="D18" s="8" t="s">
        <v>100</v>
      </c>
      <c r="E18" s="8" t="s">
        <v>101</v>
      </c>
      <c r="F18" s="8" t="s">
        <v>87</v>
      </c>
      <c r="G18" s="8"/>
      <c r="H18" s="8" t="s">
        <v>48</v>
      </c>
      <c r="I18" s="8" t="n">
        <v>1</v>
      </c>
      <c r="J18" s="8"/>
      <c r="K18" s="8"/>
      <c r="L18" s="8"/>
      <c r="M18" s="8"/>
    </row>
    <row r="19" customFormat="false" ht="36" hidden="false" customHeight="true" outlineLevel="0" collapsed="false">
      <c r="A19" s="8" t="s">
        <v>102</v>
      </c>
      <c r="B19" s="8" t="s">
        <v>75</v>
      </c>
      <c r="C19" s="8" t="s">
        <v>54</v>
      </c>
      <c r="D19" s="8" t="s">
        <v>103</v>
      </c>
      <c r="E19" s="8" t="s">
        <v>104</v>
      </c>
      <c r="F19" s="8" t="s">
        <v>74</v>
      </c>
      <c r="G19" s="8"/>
      <c r="H19" s="8" t="s">
        <v>48</v>
      </c>
      <c r="I19" s="8" t="n">
        <v>1</v>
      </c>
      <c r="J19" s="8"/>
      <c r="K19" s="8"/>
      <c r="L19" s="8"/>
      <c r="M19" s="8"/>
    </row>
    <row r="20" customFormat="false" ht="36" hidden="false" customHeight="true" outlineLevel="0" collapsed="false">
      <c r="A20" s="8" t="s">
        <v>105</v>
      </c>
      <c r="B20" s="8" t="s">
        <v>75</v>
      </c>
      <c r="C20" s="8" t="s">
        <v>67</v>
      </c>
      <c r="D20" s="8" t="s">
        <v>106</v>
      </c>
      <c r="E20" s="8" t="s">
        <v>107</v>
      </c>
      <c r="F20" s="8" t="s">
        <v>74</v>
      </c>
      <c r="G20" s="8"/>
      <c r="H20" s="8" t="s">
        <v>48</v>
      </c>
      <c r="I20" s="8" t="n">
        <v>1</v>
      </c>
      <c r="J20" s="8"/>
      <c r="K20" s="8"/>
      <c r="L20" s="8"/>
      <c r="M20" s="8"/>
    </row>
    <row r="21" customFormat="false" ht="36" hidden="false" customHeight="true" outlineLevel="0" collapsed="false">
      <c r="A21" s="8" t="s">
        <v>108</v>
      </c>
      <c r="B21" s="8" t="s">
        <v>75</v>
      </c>
      <c r="C21" s="8" t="s">
        <v>67</v>
      </c>
      <c r="D21" s="8" t="s">
        <v>109</v>
      </c>
      <c r="E21" s="8" t="s">
        <v>110</v>
      </c>
      <c r="F21" s="8" t="s">
        <v>105</v>
      </c>
      <c r="G21" s="8"/>
      <c r="H21" s="8" t="s">
        <v>48</v>
      </c>
      <c r="I21" s="8" t="n">
        <v>1</v>
      </c>
      <c r="J21" s="8"/>
      <c r="K21" s="8"/>
      <c r="L21" s="8"/>
      <c r="M21" s="8"/>
    </row>
    <row r="22" customFormat="false" ht="36" hidden="false" customHeight="true" outlineLevel="0" collapsed="false">
      <c r="A22" s="8" t="s">
        <v>111</v>
      </c>
      <c r="B22" s="8" t="s">
        <v>75</v>
      </c>
      <c r="C22" s="8" t="s">
        <v>67</v>
      </c>
      <c r="D22" s="8" t="s">
        <v>112</v>
      </c>
      <c r="E22" s="8" t="s">
        <v>113</v>
      </c>
      <c r="F22" s="8" t="s">
        <v>74</v>
      </c>
      <c r="G22" s="8"/>
      <c r="H22" s="8" t="s">
        <v>48</v>
      </c>
      <c r="I22" s="8" t="n">
        <v>1</v>
      </c>
      <c r="J22" s="8"/>
      <c r="K22" s="8"/>
      <c r="L22" s="8"/>
      <c r="M22" s="8"/>
    </row>
    <row r="23" customFormat="false" ht="36" hidden="false" customHeight="true" outlineLevel="0" collapsed="false">
      <c r="A23" s="8" t="s">
        <v>114</v>
      </c>
      <c r="B23" s="8" t="s">
        <v>75</v>
      </c>
      <c r="C23" s="8" t="s">
        <v>67</v>
      </c>
      <c r="D23" s="8" t="s">
        <v>115</v>
      </c>
      <c r="E23" s="8" t="s">
        <v>116</v>
      </c>
      <c r="F23" s="8" t="s">
        <v>74</v>
      </c>
      <c r="G23" s="8"/>
      <c r="H23" s="8" t="s">
        <v>48</v>
      </c>
      <c r="I23" s="8" t="n">
        <v>1</v>
      </c>
      <c r="J23" s="8"/>
      <c r="K23" s="8"/>
      <c r="L23" s="8"/>
      <c r="M23" s="8"/>
    </row>
    <row r="24" customFormat="false" ht="36" hidden="false" customHeight="true" outlineLevel="0" collapsed="false">
      <c r="A24" s="8" t="s">
        <v>117</v>
      </c>
      <c r="B24" s="8" t="s">
        <v>75</v>
      </c>
      <c r="C24" s="8" t="s">
        <v>67</v>
      </c>
      <c r="D24" s="8" t="s">
        <v>118</v>
      </c>
      <c r="E24" s="8" t="s">
        <v>119</v>
      </c>
      <c r="F24" s="8" t="s">
        <v>74</v>
      </c>
      <c r="G24" s="8"/>
      <c r="H24" s="8" t="s">
        <v>48</v>
      </c>
      <c r="I24" s="8" t="n">
        <v>1</v>
      </c>
      <c r="J24" s="8"/>
      <c r="K24" s="8"/>
      <c r="L24" s="8"/>
      <c r="M24" s="8"/>
    </row>
    <row r="25" customFormat="false" ht="36" hidden="false" customHeight="true" outlineLevel="0" collapsed="false">
      <c r="A25" s="8" t="s">
        <v>120</v>
      </c>
      <c r="B25" s="8" t="s">
        <v>75</v>
      </c>
      <c r="C25" s="8" t="s">
        <v>67</v>
      </c>
      <c r="D25" s="8" t="s">
        <v>121</v>
      </c>
      <c r="E25" s="8" t="s">
        <v>122</v>
      </c>
      <c r="F25" s="8" t="s">
        <v>117</v>
      </c>
      <c r="G25" s="8"/>
      <c r="H25" s="8" t="s">
        <v>48</v>
      </c>
      <c r="I25" s="8" t="n">
        <v>1</v>
      </c>
      <c r="J25" s="8"/>
      <c r="K25" s="8"/>
      <c r="L25" s="8"/>
      <c r="M25" s="8"/>
    </row>
    <row r="26" customFormat="false" ht="36" hidden="false" customHeight="true" outlineLevel="0" collapsed="false">
      <c r="A26" s="8" t="s">
        <v>123</v>
      </c>
      <c r="B26" s="8" t="s">
        <v>75</v>
      </c>
      <c r="C26" s="8" t="s">
        <v>67</v>
      </c>
      <c r="D26" s="8" t="s">
        <v>124</v>
      </c>
      <c r="E26" s="8" t="s">
        <v>125</v>
      </c>
      <c r="F26" s="8" t="s">
        <v>126</v>
      </c>
      <c r="G26" s="8"/>
      <c r="H26" s="8" t="s">
        <v>48</v>
      </c>
      <c r="I26" s="8" t="n">
        <v>1</v>
      </c>
      <c r="J26" s="8"/>
      <c r="K26" s="8"/>
      <c r="L26" s="8"/>
      <c r="M26" s="8"/>
    </row>
    <row r="27" customFormat="false" ht="36" hidden="false" customHeight="true" outlineLevel="0" collapsed="false">
      <c r="A27" s="8" t="s">
        <v>127</v>
      </c>
      <c r="B27" s="8" t="s">
        <v>75</v>
      </c>
      <c r="C27" s="8" t="s">
        <v>67</v>
      </c>
      <c r="D27" s="8" t="s">
        <v>128</v>
      </c>
      <c r="E27" s="8" t="s">
        <v>129</v>
      </c>
      <c r="F27" s="8" t="s">
        <v>126</v>
      </c>
      <c r="G27" s="8"/>
      <c r="H27" s="8" t="s">
        <v>48</v>
      </c>
      <c r="I27" s="8" t="n">
        <v>1</v>
      </c>
      <c r="J27" s="8"/>
      <c r="K27" s="8"/>
      <c r="L27" s="8"/>
      <c r="M27" s="8"/>
    </row>
    <row r="28" customFormat="false" ht="36" hidden="false" customHeight="true" outlineLevel="0" collapsed="false">
      <c r="A28" s="8" t="s">
        <v>130</v>
      </c>
      <c r="B28" s="8" t="s">
        <v>75</v>
      </c>
      <c r="C28" s="8" t="s">
        <v>67</v>
      </c>
      <c r="D28" s="8" t="s">
        <v>131</v>
      </c>
      <c r="E28" s="8" t="s">
        <v>132</v>
      </c>
      <c r="F28" s="8" t="s">
        <v>117</v>
      </c>
      <c r="G28" s="8"/>
      <c r="H28" s="8" t="s">
        <v>48</v>
      </c>
      <c r="I28" s="8" t="n">
        <v>1</v>
      </c>
      <c r="J28" s="8"/>
      <c r="K28" s="8"/>
      <c r="L28" s="8"/>
      <c r="M28" s="8"/>
    </row>
    <row r="29" customFormat="false" ht="36" hidden="false" customHeight="true" outlineLevel="0" collapsed="false">
      <c r="A29" s="8" t="s">
        <v>133</v>
      </c>
      <c r="B29" s="8" t="s">
        <v>75</v>
      </c>
      <c r="C29" s="8" t="s">
        <v>67</v>
      </c>
      <c r="D29" s="8" t="s">
        <v>134</v>
      </c>
      <c r="E29" s="8" t="s">
        <v>135</v>
      </c>
      <c r="F29" s="8" t="s">
        <v>130</v>
      </c>
      <c r="G29" s="8"/>
      <c r="H29" s="8" t="s">
        <v>48</v>
      </c>
      <c r="I29" s="8" t="n">
        <v>1</v>
      </c>
      <c r="J29" s="8"/>
      <c r="K29" s="8"/>
      <c r="L29" s="8"/>
      <c r="M29" s="8"/>
    </row>
    <row r="30" customFormat="false" ht="36" hidden="false" customHeight="true" outlineLevel="0" collapsed="false">
      <c r="A30" s="8" t="s">
        <v>136</v>
      </c>
      <c r="B30" s="8" t="s">
        <v>75</v>
      </c>
      <c r="C30" s="8" t="s">
        <v>67</v>
      </c>
      <c r="D30" s="8" t="s">
        <v>137</v>
      </c>
      <c r="E30" s="8" t="s">
        <v>138</v>
      </c>
      <c r="F30" s="8" t="s">
        <v>108</v>
      </c>
      <c r="G30" s="8"/>
      <c r="H30" s="8" t="s">
        <v>48</v>
      </c>
      <c r="I30" s="8" t="n">
        <v>1</v>
      </c>
      <c r="J30" s="8"/>
      <c r="K30" s="8"/>
      <c r="L30" s="8"/>
      <c r="M30" s="8"/>
    </row>
    <row r="31" customFormat="false" ht="36" hidden="false" customHeight="true" outlineLevel="0" collapsed="false">
      <c r="A31" s="8" t="s">
        <v>139</v>
      </c>
      <c r="B31" s="8" t="s">
        <v>75</v>
      </c>
      <c r="C31" s="8" t="s">
        <v>67</v>
      </c>
      <c r="D31" s="8" t="s">
        <v>140</v>
      </c>
      <c r="E31" s="8" t="s">
        <v>141</v>
      </c>
      <c r="F31" s="8" t="s">
        <v>133</v>
      </c>
      <c r="G31" s="8"/>
      <c r="H31" s="8" t="s">
        <v>48</v>
      </c>
      <c r="I31" s="8" t="n">
        <v>1</v>
      </c>
      <c r="J31" s="8"/>
      <c r="K31" s="8"/>
      <c r="L31" s="8"/>
      <c r="M31" s="8"/>
    </row>
    <row r="32" customFormat="false" ht="36" hidden="false" customHeight="true" outlineLevel="0" collapsed="false">
      <c r="A32" s="8" t="s">
        <v>142</v>
      </c>
      <c r="B32" s="8" t="s">
        <v>75</v>
      </c>
      <c r="C32" s="8" t="s">
        <v>67</v>
      </c>
      <c r="D32" s="8" t="s">
        <v>143</v>
      </c>
      <c r="E32" s="8" t="s">
        <v>144</v>
      </c>
      <c r="F32" s="8" t="s">
        <v>133</v>
      </c>
      <c r="G32" s="8"/>
      <c r="H32" s="8" t="s">
        <v>48</v>
      </c>
      <c r="I32" s="8" t="n">
        <v>1</v>
      </c>
      <c r="J32" s="8"/>
      <c r="K32" s="8"/>
      <c r="L32" s="8"/>
      <c r="M32" s="8"/>
    </row>
    <row r="33" customFormat="false" ht="36" hidden="false" customHeight="true" outlineLevel="0" collapsed="false">
      <c r="A33" s="8" t="s">
        <v>145</v>
      </c>
      <c r="B33" s="8" t="s">
        <v>75</v>
      </c>
      <c r="C33" s="8" t="s">
        <v>44</v>
      </c>
      <c r="D33" s="8" t="s">
        <v>146</v>
      </c>
      <c r="E33" s="8" t="s">
        <v>147</v>
      </c>
      <c r="F33" s="8" t="s">
        <v>133</v>
      </c>
      <c r="G33" s="8"/>
      <c r="H33" s="8" t="s">
        <v>48</v>
      </c>
      <c r="I33" s="8" t="n">
        <v>1</v>
      </c>
      <c r="J33" s="8"/>
      <c r="K33" s="8"/>
      <c r="L33" s="8"/>
      <c r="M33" s="8"/>
    </row>
    <row r="34" customFormat="false" ht="36" hidden="false" customHeight="true" outlineLevel="0" collapsed="false">
      <c r="A34" s="8" t="s">
        <v>148</v>
      </c>
      <c r="B34" s="8" t="s">
        <v>75</v>
      </c>
      <c r="C34" s="8" t="s">
        <v>44</v>
      </c>
      <c r="D34" s="8" t="s">
        <v>149</v>
      </c>
      <c r="E34" s="8" t="s">
        <v>150</v>
      </c>
      <c r="F34" s="8" t="s">
        <v>133</v>
      </c>
      <c r="G34" s="8"/>
      <c r="H34" s="8" t="s">
        <v>48</v>
      </c>
      <c r="I34" s="8" t="n">
        <v>1</v>
      </c>
      <c r="J34" s="8"/>
      <c r="K34" s="8"/>
      <c r="L34" s="8"/>
      <c r="M34" s="8"/>
    </row>
    <row r="35" customFormat="false" ht="36" hidden="false" customHeight="true" outlineLevel="0" collapsed="false">
      <c r="A35" s="8" t="s">
        <v>151</v>
      </c>
      <c r="B35" s="8" t="s">
        <v>75</v>
      </c>
      <c r="C35" s="8" t="s">
        <v>67</v>
      </c>
      <c r="D35" s="8" t="s">
        <v>152</v>
      </c>
      <c r="E35" s="8" t="s">
        <v>153</v>
      </c>
      <c r="F35" s="8" t="s">
        <v>120</v>
      </c>
      <c r="G35" s="8"/>
      <c r="H35" s="8" t="s">
        <v>48</v>
      </c>
      <c r="I35" s="8" t="n">
        <v>1</v>
      </c>
      <c r="J35" s="8"/>
      <c r="K35" s="8"/>
      <c r="L35" s="8"/>
      <c r="M35" s="8"/>
    </row>
    <row r="36" customFormat="false" ht="36" hidden="false" customHeight="true" outlineLevel="0" collapsed="false">
      <c r="A36" s="8" t="s">
        <v>154</v>
      </c>
      <c r="B36" s="8" t="s">
        <v>75</v>
      </c>
      <c r="C36" s="8" t="s">
        <v>67</v>
      </c>
      <c r="D36" s="8" t="s">
        <v>155</v>
      </c>
      <c r="E36" s="8" t="s">
        <v>156</v>
      </c>
      <c r="F36" s="8" t="s">
        <v>133</v>
      </c>
      <c r="G36" s="8"/>
      <c r="H36" s="8" t="s">
        <v>48</v>
      </c>
      <c r="I36" s="8" t="n">
        <v>1</v>
      </c>
      <c r="J36" s="8"/>
      <c r="K36" s="8"/>
      <c r="L36" s="8"/>
      <c r="M36" s="8"/>
    </row>
    <row r="37" customFormat="false" ht="36" hidden="false" customHeight="true" outlineLevel="0" collapsed="false">
      <c r="A37" s="8" t="s">
        <v>157</v>
      </c>
      <c r="B37" s="8" t="s">
        <v>75</v>
      </c>
      <c r="C37" s="8" t="s">
        <v>67</v>
      </c>
      <c r="D37" s="8" t="s">
        <v>158</v>
      </c>
      <c r="E37" s="8" t="s">
        <v>159</v>
      </c>
      <c r="F37" s="8" t="s">
        <v>136</v>
      </c>
      <c r="G37" s="8"/>
      <c r="H37" s="8" t="s">
        <v>48</v>
      </c>
      <c r="I37" s="8" t="n">
        <v>1</v>
      </c>
      <c r="J37" s="8"/>
      <c r="K37" s="8"/>
      <c r="L37" s="8"/>
      <c r="M37" s="8"/>
    </row>
    <row r="38" customFormat="false" ht="36" hidden="false" customHeight="true" outlineLevel="0" collapsed="false">
      <c r="A38" s="8" t="s">
        <v>160</v>
      </c>
      <c r="B38" s="8" t="s">
        <v>75</v>
      </c>
      <c r="C38" s="8" t="s">
        <v>67</v>
      </c>
      <c r="D38" s="8" t="s">
        <v>161</v>
      </c>
      <c r="E38" s="8" t="s">
        <v>162</v>
      </c>
      <c r="F38" s="8" t="s">
        <v>114</v>
      </c>
      <c r="G38" s="8"/>
      <c r="H38" s="8" t="s">
        <v>48</v>
      </c>
      <c r="I38" s="8" t="n">
        <v>1</v>
      </c>
      <c r="J38" s="8"/>
      <c r="K38" s="8"/>
      <c r="L38" s="8"/>
      <c r="M38" s="8"/>
    </row>
    <row r="39" customFormat="false" ht="36" hidden="false" customHeight="true" outlineLevel="0" collapsed="false">
      <c r="A39" s="8" t="s">
        <v>163</v>
      </c>
      <c r="B39" s="8" t="s">
        <v>75</v>
      </c>
      <c r="C39" s="8" t="s">
        <v>67</v>
      </c>
      <c r="D39" s="8" t="s">
        <v>164</v>
      </c>
      <c r="E39" s="8" t="s">
        <v>165</v>
      </c>
      <c r="F39" s="8" t="s">
        <v>114</v>
      </c>
      <c r="G39" s="8"/>
      <c r="H39" s="8" t="s">
        <v>48</v>
      </c>
      <c r="I39" s="8" t="n">
        <v>1</v>
      </c>
      <c r="J39" s="8"/>
      <c r="K39" s="8"/>
      <c r="L39" s="8"/>
      <c r="M39" s="8"/>
    </row>
    <row r="40" customFormat="false" ht="36" hidden="false" customHeight="true" outlineLevel="0" collapsed="false">
      <c r="A40" s="8" t="s">
        <v>166</v>
      </c>
      <c r="B40" s="8" t="s">
        <v>75</v>
      </c>
      <c r="C40" s="8" t="s">
        <v>54</v>
      </c>
      <c r="D40" s="8" t="s">
        <v>167</v>
      </c>
      <c r="E40" s="8" t="s">
        <v>168</v>
      </c>
      <c r="F40" s="8" t="s">
        <v>111</v>
      </c>
      <c r="G40" s="8"/>
      <c r="H40" s="8" t="s">
        <v>48</v>
      </c>
      <c r="I40" s="8" t="n">
        <v>1</v>
      </c>
      <c r="J40" s="8"/>
      <c r="K40" s="8"/>
      <c r="L40" s="8"/>
      <c r="M40" s="8"/>
    </row>
    <row r="41" customFormat="false" ht="36" hidden="false" customHeight="true" outlineLevel="0" collapsed="false">
      <c r="A41" s="8" t="s">
        <v>169</v>
      </c>
      <c r="B41" s="8" t="s">
        <v>75</v>
      </c>
      <c r="C41" s="8" t="s">
        <v>67</v>
      </c>
      <c r="D41" s="8" t="s">
        <v>170</v>
      </c>
      <c r="E41" s="8" t="s">
        <v>171</v>
      </c>
      <c r="F41" s="8" t="s">
        <v>111</v>
      </c>
      <c r="G41" s="8"/>
      <c r="H41" s="8" t="s">
        <v>48</v>
      </c>
      <c r="I41" s="8" t="n">
        <v>1</v>
      </c>
      <c r="J41" s="8"/>
      <c r="K41" s="8"/>
      <c r="L41" s="8"/>
      <c r="M41" s="8"/>
    </row>
    <row r="42" customFormat="false" ht="36" hidden="false" customHeight="true" outlineLevel="0" collapsed="false">
      <c r="A42" s="8" t="s">
        <v>172</v>
      </c>
      <c r="B42" s="8" t="s">
        <v>75</v>
      </c>
      <c r="C42" s="8" t="s">
        <v>67</v>
      </c>
      <c r="D42" s="8" t="s">
        <v>173</v>
      </c>
      <c r="E42" s="8" t="s">
        <v>174</v>
      </c>
      <c r="F42" s="8" t="s">
        <v>175</v>
      </c>
      <c r="G42" s="8"/>
      <c r="H42" s="8" t="s">
        <v>48</v>
      </c>
      <c r="I42" s="8" t="n">
        <v>1</v>
      </c>
      <c r="J42" s="8"/>
      <c r="K42" s="8"/>
      <c r="L42" s="8"/>
      <c r="M42" s="8"/>
    </row>
    <row r="43" customFormat="false" ht="36" hidden="false" customHeight="true" outlineLevel="0" collapsed="false">
      <c r="A43" s="8" t="s">
        <v>176</v>
      </c>
      <c r="B43" s="8" t="s">
        <v>75</v>
      </c>
      <c r="C43" s="8" t="s">
        <v>67</v>
      </c>
      <c r="D43" s="8" t="s">
        <v>177</v>
      </c>
      <c r="E43" s="8" t="s">
        <v>178</v>
      </c>
      <c r="F43" s="8" t="s">
        <v>160</v>
      </c>
      <c r="G43" s="8"/>
      <c r="H43" s="8" t="s">
        <v>48</v>
      </c>
      <c r="I43" s="8" t="n">
        <v>1</v>
      </c>
      <c r="J43" s="8"/>
      <c r="K43" s="8"/>
      <c r="L43" s="8"/>
      <c r="M43" s="8"/>
    </row>
    <row r="44" customFormat="false" ht="36" hidden="false" customHeight="true" outlineLevel="0" collapsed="false">
      <c r="A44" s="8" t="s">
        <v>179</v>
      </c>
      <c r="B44" s="8" t="s">
        <v>75</v>
      </c>
      <c r="C44" s="8" t="s">
        <v>54</v>
      </c>
      <c r="D44" s="8" t="s">
        <v>180</v>
      </c>
      <c r="E44" s="8" t="s">
        <v>181</v>
      </c>
      <c r="F44" s="8" t="s">
        <v>74</v>
      </c>
      <c r="G44" s="8"/>
      <c r="H44" s="8" t="s">
        <v>48</v>
      </c>
      <c r="I44" s="8" t="n">
        <v>1</v>
      </c>
      <c r="J44" s="8"/>
      <c r="K44" s="8"/>
      <c r="L44" s="8"/>
      <c r="M44" s="8"/>
    </row>
    <row r="45" customFormat="false" ht="36" hidden="false" customHeight="true" outlineLevel="0" collapsed="false">
      <c r="A45" s="8" t="s">
        <v>182</v>
      </c>
      <c r="B45" s="8" t="s">
        <v>75</v>
      </c>
      <c r="C45" s="8" t="s">
        <v>67</v>
      </c>
      <c r="D45" s="8" t="s">
        <v>183</v>
      </c>
      <c r="E45" s="8" t="s">
        <v>184</v>
      </c>
      <c r="F45" s="8" t="s">
        <v>179</v>
      </c>
      <c r="G45" s="8"/>
      <c r="H45" s="8" t="s">
        <v>48</v>
      </c>
      <c r="I45" s="8" t="n">
        <v>1</v>
      </c>
      <c r="J45" s="8"/>
      <c r="K45" s="8"/>
      <c r="L45" s="8"/>
      <c r="M45" s="8"/>
    </row>
    <row r="46" customFormat="false" ht="36" hidden="false" customHeight="true" outlineLevel="0" collapsed="false">
      <c r="A46" s="8" t="s">
        <v>185</v>
      </c>
      <c r="B46" s="8" t="s">
        <v>75</v>
      </c>
      <c r="C46" s="8" t="s">
        <v>67</v>
      </c>
      <c r="D46" s="8" t="s">
        <v>186</v>
      </c>
      <c r="E46" s="8" t="s">
        <v>187</v>
      </c>
      <c r="F46" s="8" t="s">
        <v>182</v>
      </c>
      <c r="G46" s="8"/>
      <c r="H46" s="8" t="s">
        <v>48</v>
      </c>
      <c r="I46" s="8" t="n">
        <v>1</v>
      </c>
      <c r="J46" s="8"/>
      <c r="K46" s="8"/>
      <c r="L46" s="8"/>
      <c r="M46" s="8"/>
    </row>
    <row r="47" customFormat="false" ht="36" hidden="false" customHeight="true" outlineLevel="0" collapsed="false">
      <c r="A47" s="8" t="s">
        <v>188</v>
      </c>
      <c r="B47" s="8" t="s">
        <v>75</v>
      </c>
      <c r="C47" s="8" t="s">
        <v>54</v>
      </c>
      <c r="D47" s="8" t="s">
        <v>189</v>
      </c>
      <c r="E47" s="8" t="s">
        <v>190</v>
      </c>
      <c r="F47" s="8" t="s">
        <v>182</v>
      </c>
      <c r="G47" s="8"/>
      <c r="H47" s="8" t="s">
        <v>48</v>
      </c>
      <c r="I47" s="8" t="n">
        <v>1</v>
      </c>
      <c r="J47" s="8"/>
      <c r="K47" s="8"/>
      <c r="L47" s="8"/>
      <c r="M47" s="8"/>
    </row>
    <row r="48" customFormat="false" ht="36" hidden="false" customHeight="true" outlineLevel="0" collapsed="false">
      <c r="A48" s="8" t="s">
        <v>191</v>
      </c>
      <c r="B48" s="8" t="s">
        <v>75</v>
      </c>
      <c r="C48" s="8" t="s">
        <v>44</v>
      </c>
      <c r="D48" s="8" t="s">
        <v>192</v>
      </c>
      <c r="E48" s="8" t="s">
        <v>193</v>
      </c>
      <c r="F48" s="8" t="s">
        <v>194</v>
      </c>
      <c r="G48" s="8"/>
      <c r="H48" s="8" t="s">
        <v>48</v>
      </c>
      <c r="I48" s="8" t="n">
        <v>1</v>
      </c>
      <c r="J48" s="8"/>
      <c r="K48" s="8"/>
      <c r="L48" s="8"/>
      <c r="M48" s="8"/>
    </row>
    <row r="49" customFormat="false" ht="36" hidden="false" customHeight="true" outlineLevel="0" collapsed="false">
      <c r="A49" s="8" t="s">
        <v>195</v>
      </c>
      <c r="B49" s="8" t="s">
        <v>75</v>
      </c>
      <c r="C49" s="8" t="s">
        <v>54</v>
      </c>
      <c r="D49" s="8" t="s">
        <v>196</v>
      </c>
      <c r="E49" s="8" t="s">
        <v>197</v>
      </c>
      <c r="F49" s="8" t="s">
        <v>99</v>
      </c>
      <c r="G49" s="8"/>
      <c r="H49" s="8" t="s">
        <v>48</v>
      </c>
      <c r="I49" s="8" t="n">
        <v>1</v>
      </c>
      <c r="J49" s="8"/>
      <c r="K49" s="8"/>
      <c r="L49" s="8"/>
      <c r="M49" s="8"/>
    </row>
    <row r="50" customFormat="false" ht="36" hidden="false" customHeight="true" outlineLevel="0" collapsed="false">
      <c r="A50" s="8" t="s">
        <v>198</v>
      </c>
      <c r="B50" s="8" t="s">
        <v>75</v>
      </c>
      <c r="C50" s="8" t="s">
        <v>44</v>
      </c>
      <c r="D50" s="8" t="s">
        <v>199</v>
      </c>
      <c r="E50" s="8" t="s">
        <v>200</v>
      </c>
      <c r="F50" s="8" t="s">
        <v>87</v>
      </c>
      <c r="G50" s="8"/>
      <c r="H50" s="8" t="s">
        <v>48</v>
      </c>
      <c r="I50" s="8" t="n">
        <v>1</v>
      </c>
      <c r="J50" s="8"/>
      <c r="K50" s="8"/>
      <c r="L50" s="8"/>
      <c r="M50" s="8"/>
    </row>
    <row r="51" customFormat="false" ht="36" hidden="false" customHeight="true" outlineLevel="0" collapsed="false">
      <c r="A51" s="8" t="s">
        <v>201</v>
      </c>
      <c r="B51" s="8" t="s">
        <v>75</v>
      </c>
      <c r="C51" s="8" t="s">
        <v>44</v>
      </c>
      <c r="D51" s="8" t="s">
        <v>202</v>
      </c>
      <c r="E51" s="8" t="s">
        <v>203</v>
      </c>
      <c r="F51" s="8" t="s">
        <v>198</v>
      </c>
      <c r="G51" s="8"/>
      <c r="H51" s="8" t="s">
        <v>48</v>
      </c>
      <c r="I51" s="8" t="n">
        <v>1</v>
      </c>
      <c r="J51" s="8"/>
      <c r="K51" s="8"/>
      <c r="L51" s="8"/>
      <c r="M51" s="8"/>
    </row>
    <row r="52" customFormat="false" ht="36" hidden="false" customHeight="true" outlineLevel="0" collapsed="false">
      <c r="A52" s="8" t="s">
        <v>204</v>
      </c>
      <c r="B52" s="8" t="s">
        <v>75</v>
      </c>
      <c r="C52" s="8" t="s">
        <v>44</v>
      </c>
      <c r="D52" s="8" t="s">
        <v>205</v>
      </c>
      <c r="E52" s="8" t="s">
        <v>206</v>
      </c>
      <c r="F52" s="8" t="s">
        <v>47</v>
      </c>
      <c r="G52" s="8"/>
      <c r="H52" s="8" t="s">
        <v>48</v>
      </c>
      <c r="I52" s="8" t="n">
        <v>1</v>
      </c>
      <c r="J52" s="8"/>
      <c r="K52" s="8"/>
      <c r="L52" s="8"/>
      <c r="M52" s="8"/>
    </row>
    <row r="53" customFormat="false" ht="36" hidden="false" customHeight="true" outlineLevel="0" collapsed="false">
      <c r="A53" s="8" t="s">
        <v>207</v>
      </c>
      <c r="B53" s="8" t="s">
        <v>75</v>
      </c>
      <c r="C53" s="8" t="s">
        <v>44</v>
      </c>
      <c r="D53" s="8" t="s">
        <v>208</v>
      </c>
      <c r="E53" s="8" t="s">
        <v>209</v>
      </c>
      <c r="F53" s="8" t="s">
        <v>60</v>
      </c>
      <c r="G53" s="8"/>
      <c r="H53" s="8" t="s">
        <v>48</v>
      </c>
      <c r="I53" s="8" t="n">
        <v>1</v>
      </c>
      <c r="J53" s="8"/>
      <c r="K53" s="8"/>
      <c r="L53" s="8"/>
      <c r="M53" s="8"/>
    </row>
    <row r="54" customFormat="false" ht="36" hidden="false" customHeight="true" outlineLevel="0" collapsed="false">
      <c r="A54" s="8" t="s">
        <v>210</v>
      </c>
      <c r="B54" s="8" t="s">
        <v>75</v>
      </c>
      <c r="C54" s="8" t="s">
        <v>54</v>
      </c>
      <c r="D54" s="8" t="s">
        <v>211</v>
      </c>
      <c r="E54" s="8" t="s">
        <v>212</v>
      </c>
      <c r="F54" s="8" t="s">
        <v>47</v>
      </c>
      <c r="G54" s="8"/>
      <c r="H54" s="8" t="s">
        <v>48</v>
      </c>
      <c r="I54" s="8" t="n">
        <v>1</v>
      </c>
      <c r="J54" s="8"/>
      <c r="K54" s="8"/>
      <c r="L54" s="8"/>
      <c r="M54" s="8"/>
    </row>
    <row r="55" customFormat="false" ht="36" hidden="false" customHeight="true" outlineLevel="0" collapsed="false">
      <c r="A55" s="8" t="s">
        <v>213</v>
      </c>
      <c r="B55" s="8" t="s">
        <v>75</v>
      </c>
      <c r="C55" s="8" t="s">
        <v>54</v>
      </c>
      <c r="D55" s="8" t="s">
        <v>214</v>
      </c>
      <c r="E55" s="8" t="s">
        <v>215</v>
      </c>
      <c r="F55" s="8" t="s">
        <v>216</v>
      </c>
      <c r="G55" s="8"/>
      <c r="H55" s="8" t="s">
        <v>48</v>
      </c>
      <c r="I55" s="8" t="n">
        <v>1</v>
      </c>
      <c r="J55" s="8"/>
      <c r="K55" s="8"/>
      <c r="L55" s="8"/>
      <c r="M55" s="8"/>
    </row>
    <row r="56" customFormat="false" ht="36" hidden="false" customHeight="true" outlineLevel="0" collapsed="false">
      <c r="A56" s="8" t="s">
        <v>217</v>
      </c>
      <c r="B56" s="8" t="s">
        <v>75</v>
      </c>
      <c r="C56" s="8" t="s">
        <v>54</v>
      </c>
      <c r="D56" s="8" t="s">
        <v>218</v>
      </c>
      <c r="E56" s="8" t="s">
        <v>219</v>
      </c>
      <c r="F56" s="8" t="s">
        <v>210</v>
      </c>
      <c r="G56" s="8"/>
      <c r="H56" s="8" t="s">
        <v>48</v>
      </c>
      <c r="I56" s="8" t="n">
        <v>1</v>
      </c>
      <c r="J56" s="8"/>
      <c r="K56" s="8"/>
      <c r="L56" s="8"/>
      <c r="M56" s="8"/>
    </row>
    <row r="57" customFormat="false" ht="36" hidden="false" customHeight="true" outlineLevel="0" collapsed="false">
      <c r="A57" s="8" t="s">
        <v>220</v>
      </c>
      <c r="B57" s="8" t="s">
        <v>75</v>
      </c>
      <c r="C57" s="8" t="s">
        <v>221</v>
      </c>
      <c r="D57" s="8" t="s">
        <v>222</v>
      </c>
      <c r="E57" s="8" t="s">
        <v>223</v>
      </c>
      <c r="F57" s="8" t="s">
        <v>47</v>
      </c>
      <c r="G57" s="8"/>
      <c r="H57" s="8" t="s">
        <v>48</v>
      </c>
      <c r="I57" s="8" t="n">
        <v>1</v>
      </c>
      <c r="J57" s="8"/>
      <c r="K57" s="8"/>
      <c r="L57" s="8"/>
      <c r="M57" s="8"/>
    </row>
    <row r="58" customFormat="false" ht="36" hidden="false" customHeight="true" outlineLevel="0" collapsed="false">
      <c r="A58" s="8" t="s">
        <v>224</v>
      </c>
      <c r="B58" s="8" t="s">
        <v>75</v>
      </c>
      <c r="C58" s="8" t="s">
        <v>67</v>
      </c>
      <c r="D58" s="8" t="s">
        <v>225</v>
      </c>
      <c r="E58" s="8" t="s">
        <v>226</v>
      </c>
      <c r="F58" s="8" t="s">
        <v>60</v>
      </c>
      <c r="G58" s="8"/>
      <c r="H58" s="8" t="s">
        <v>48</v>
      </c>
      <c r="I58" s="8" t="n">
        <v>1</v>
      </c>
      <c r="J58" s="8"/>
      <c r="K58" s="8"/>
      <c r="L58" s="8"/>
      <c r="M58" s="8"/>
    </row>
    <row r="59" customFormat="false" ht="36" hidden="false" customHeight="true" outlineLevel="0" collapsed="false">
      <c r="A59" s="8" t="s">
        <v>227</v>
      </c>
      <c r="B59" s="8" t="s">
        <v>75</v>
      </c>
      <c r="C59" s="8" t="s">
        <v>67</v>
      </c>
      <c r="D59" s="8" t="s">
        <v>228</v>
      </c>
      <c r="E59" s="8" t="s">
        <v>229</v>
      </c>
      <c r="F59" s="8" t="s">
        <v>224</v>
      </c>
      <c r="G59" s="8"/>
      <c r="H59" s="8" t="s">
        <v>48</v>
      </c>
      <c r="I59" s="8" t="n">
        <v>1</v>
      </c>
      <c r="J59" s="8"/>
      <c r="K59" s="8"/>
      <c r="L59" s="8"/>
      <c r="M59" s="8"/>
    </row>
    <row r="60" customFormat="false" ht="36" hidden="false" customHeight="true" outlineLevel="0" collapsed="false">
      <c r="A60" s="8" t="s">
        <v>230</v>
      </c>
      <c r="B60" s="8" t="s">
        <v>75</v>
      </c>
      <c r="C60" s="8" t="s">
        <v>67</v>
      </c>
      <c r="D60" s="8" t="s">
        <v>231</v>
      </c>
      <c r="E60" s="8" t="s">
        <v>232</v>
      </c>
      <c r="F60" s="8" t="s">
        <v>233</v>
      </c>
      <c r="G60" s="8"/>
      <c r="H60" s="8" t="s">
        <v>48</v>
      </c>
      <c r="I60" s="8" t="n">
        <v>1</v>
      </c>
      <c r="J60" s="8"/>
      <c r="K60" s="8"/>
      <c r="L60" s="8"/>
      <c r="M60" s="8"/>
    </row>
    <row r="61" customFormat="false" ht="36" hidden="false" customHeight="true" outlineLevel="0" collapsed="false">
      <c r="A61" s="8" t="s">
        <v>234</v>
      </c>
      <c r="B61" s="8" t="s">
        <v>75</v>
      </c>
      <c r="C61" s="8" t="s">
        <v>44</v>
      </c>
      <c r="D61" s="8" t="s">
        <v>235</v>
      </c>
      <c r="E61" s="8" t="s">
        <v>236</v>
      </c>
      <c r="F61" s="8" t="s">
        <v>230</v>
      </c>
      <c r="G61" s="8"/>
      <c r="H61" s="8" t="s">
        <v>48</v>
      </c>
      <c r="I61" s="8" t="n">
        <v>1</v>
      </c>
      <c r="J61" s="8"/>
      <c r="K61" s="8"/>
      <c r="L61" s="8"/>
      <c r="M61" s="8"/>
    </row>
    <row r="62" customFormat="false" ht="36" hidden="false" customHeight="true" outlineLevel="0" collapsed="false">
      <c r="A62" s="8" t="s">
        <v>237</v>
      </c>
      <c r="B62" s="8" t="s">
        <v>75</v>
      </c>
      <c r="C62" s="8" t="s">
        <v>44</v>
      </c>
      <c r="D62" s="8" t="s">
        <v>238</v>
      </c>
      <c r="E62" s="8" t="s">
        <v>239</v>
      </c>
      <c r="F62" s="8" t="s">
        <v>230</v>
      </c>
      <c r="G62" s="8"/>
      <c r="H62" s="8" t="s">
        <v>48</v>
      </c>
      <c r="I62" s="8" t="n">
        <v>1</v>
      </c>
      <c r="J62" s="8"/>
      <c r="K62" s="8"/>
      <c r="L62" s="8"/>
      <c r="M62" s="8"/>
    </row>
    <row r="63" customFormat="false" ht="36" hidden="false" customHeight="true" outlineLevel="0" collapsed="false">
      <c r="A63" s="8" t="s">
        <v>240</v>
      </c>
      <c r="B63" s="8" t="s">
        <v>75</v>
      </c>
      <c r="C63" s="8" t="s">
        <v>67</v>
      </c>
      <c r="D63" s="8" t="s">
        <v>241</v>
      </c>
      <c r="E63" s="8" t="s">
        <v>242</v>
      </c>
      <c r="F63" s="8" t="s">
        <v>230</v>
      </c>
      <c r="G63" s="8"/>
      <c r="H63" s="8" t="s">
        <v>48</v>
      </c>
      <c r="I63" s="8" t="n">
        <v>1</v>
      </c>
      <c r="J63" s="8"/>
      <c r="K63" s="8"/>
      <c r="L63" s="8"/>
      <c r="M63" s="8"/>
    </row>
    <row r="64" customFormat="false" ht="36" hidden="false" customHeight="true" outlineLevel="0" collapsed="false">
      <c r="A64" s="8" t="s">
        <v>243</v>
      </c>
      <c r="B64" s="8" t="s">
        <v>75</v>
      </c>
      <c r="C64" s="8" t="s">
        <v>54</v>
      </c>
      <c r="D64" s="8" t="s">
        <v>244</v>
      </c>
      <c r="E64" s="8" t="s">
        <v>245</v>
      </c>
      <c r="F64" s="8" t="s">
        <v>133</v>
      </c>
      <c r="G64" s="8"/>
      <c r="H64" s="8" t="s">
        <v>48</v>
      </c>
      <c r="I64" s="8" t="n">
        <v>1</v>
      </c>
      <c r="J64" s="8"/>
      <c r="K64" s="8"/>
      <c r="L64" s="8"/>
      <c r="M64" s="8"/>
    </row>
    <row r="65" customFormat="false" ht="36" hidden="false" customHeight="true" outlineLevel="0" collapsed="false">
      <c r="A65" s="8" t="s">
        <v>246</v>
      </c>
      <c r="B65" s="8" t="s">
        <v>75</v>
      </c>
      <c r="C65" s="8" t="s">
        <v>54</v>
      </c>
      <c r="D65" s="8" t="s">
        <v>247</v>
      </c>
      <c r="E65" s="8" t="s">
        <v>248</v>
      </c>
      <c r="F65" s="8" t="s">
        <v>117</v>
      </c>
      <c r="G65" s="8"/>
      <c r="H65" s="8" t="s">
        <v>48</v>
      </c>
      <c r="I65" s="8" t="n">
        <v>1</v>
      </c>
      <c r="J65" s="8"/>
      <c r="K65" s="8"/>
      <c r="L65" s="8"/>
      <c r="M65" s="8"/>
    </row>
    <row r="66" customFormat="false" ht="36" hidden="false" customHeight="true" outlineLevel="0" collapsed="false">
      <c r="A66" s="8" t="s">
        <v>249</v>
      </c>
      <c r="B66" s="8" t="s">
        <v>75</v>
      </c>
      <c r="C66" s="8" t="s">
        <v>54</v>
      </c>
      <c r="D66" s="8" t="s">
        <v>250</v>
      </c>
      <c r="E66" s="8" t="s">
        <v>251</v>
      </c>
      <c r="F66" s="8" t="s">
        <v>166</v>
      </c>
      <c r="G66" s="8"/>
      <c r="H66" s="8" t="s">
        <v>48</v>
      </c>
      <c r="I66" s="8" t="n">
        <v>1</v>
      </c>
      <c r="J66" s="8"/>
      <c r="K66" s="8"/>
      <c r="L66" s="8"/>
      <c r="M66" s="8"/>
    </row>
    <row r="67" customFormat="false" ht="36" hidden="false" customHeight="true" outlineLevel="0" collapsed="false">
      <c r="A67" s="8" t="s">
        <v>252</v>
      </c>
      <c r="B67" s="8" t="s">
        <v>75</v>
      </c>
      <c r="C67" s="8" t="s">
        <v>54</v>
      </c>
      <c r="D67" s="8" t="s">
        <v>253</v>
      </c>
      <c r="E67" s="8" t="s">
        <v>254</v>
      </c>
      <c r="F67" s="8" t="s">
        <v>117</v>
      </c>
      <c r="G67" s="8"/>
      <c r="H67" s="8" t="s">
        <v>48</v>
      </c>
      <c r="I67" s="8" t="n">
        <v>1</v>
      </c>
      <c r="J67" s="8"/>
      <c r="K67" s="8"/>
      <c r="L67" s="8"/>
      <c r="M67" s="8"/>
    </row>
    <row r="68" customFormat="false" ht="36" hidden="false" customHeight="true" outlineLevel="0" collapsed="false">
      <c r="A68" s="8" t="s">
        <v>255</v>
      </c>
      <c r="B68" s="8" t="s">
        <v>75</v>
      </c>
      <c r="C68" s="8" t="s">
        <v>54</v>
      </c>
      <c r="D68" s="8" t="s">
        <v>256</v>
      </c>
      <c r="E68" s="8" t="s">
        <v>257</v>
      </c>
      <c r="F68" s="8" t="s">
        <v>57</v>
      </c>
      <c r="G68" s="8"/>
      <c r="H68" s="8" t="s">
        <v>48</v>
      </c>
      <c r="I68" s="8" t="n">
        <v>1</v>
      </c>
      <c r="J68" s="8"/>
      <c r="K68" s="8"/>
      <c r="L68" s="8"/>
      <c r="M68" s="8"/>
    </row>
    <row r="69" customFormat="false" ht="36" hidden="false" customHeight="true" outlineLevel="0" collapsed="false">
      <c r="A69" s="8" t="s">
        <v>258</v>
      </c>
      <c r="B69" s="8" t="s">
        <v>75</v>
      </c>
      <c r="C69" s="8" t="s">
        <v>54</v>
      </c>
      <c r="D69" s="8" t="s">
        <v>259</v>
      </c>
      <c r="E69" s="8" t="s">
        <v>260</v>
      </c>
      <c r="F69" s="8" t="s">
        <v>255</v>
      </c>
      <c r="G69" s="8"/>
      <c r="H69" s="8" t="s">
        <v>48</v>
      </c>
      <c r="I69" s="8" t="n">
        <v>1</v>
      </c>
      <c r="J69" s="8"/>
      <c r="K69" s="8"/>
      <c r="L69" s="8"/>
      <c r="M69" s="8"/>
    </row>
    <row r="70" customFormat="false" ht="36" hidden="false" customHeight="true" outlineLevel="0" collapsed="false">
      <c r="A70" s="8" t="s">
        <v>261</v>
      </c>
      <c r="B70" s="8" t="s">
        <v>75</v>
      </c>
      <c r="C70" s="8" t="s">
        <v>67</v>
      </c>
      <c r="D70" s="8" t="s">
        <v>262</v>
      </c>
      <c r="E70" s="8" t="s">
        <v>263</v>
      </c>
      <c r="F70" s="8" t="s">
        <v>47</v>
      </c>
      <c r="G70" s="8"/>
      <c r="H70" s="8" t="s">
        <v>48</v>
      </c>
      <c r="I70" s="8" t="n">
        <v>1</v>
      </c>
      <c r="J70" s="8"/>
      <c r="K70" s="8"/>
      <c r="L70" s="8"/>
      <c r="M70" s="8"/>
    </row>
    <row r="71" customFormat="false" ht="36" hidden="false" customHeight="true" outlineLevel="0" collapsed="false">
      <c r="A71" s="8" t="s">
        <v>264</v>
      </c>
      <c r="B71" s="8" t="s">
        <v>75</v>
      </c>
      <c r="C71" s="8" t="s">
        <v>67</v>
      </c>
      <c r="D71" s="8" t="s">
        <v>265</v>
      </c>
      <c r="E71" s="8" t="s">
        <v>266</v>
      </c>
      <c r="F71" s="8" t="s">
        <v>261</v>
      </c>
      <c r="G71" s="8"/>
      <c r="H71" s="8" t="s">
        <v>48</v>
      </c>
      <c r="I71" s="8" t="n">
        <v>1</v>
      </c>
      <c r="J71" s="8"/>
      <c r="K71" s="8"/>
      <c r="L71" s="8"/>
      <c r="M71" s="8"/>
    </row>
    <row r="72" customFormat="false" ht="36" hidden="false" customHeight="true" outlineLevel="0" collapsed="false">
      <c r="A72" s="8" t="s">
        <v>267</v>
      </c>
      <c r="B72" s="8" t="s">
        <v>75</v>
      </c>
      <c r="C72" s="8" t="s">
        <v>67</v>
      </c>
      <c r="D72" s="8" t="s">
        <v>268</v>
      </c>
      <c r="E72" s="8" t="s">
        <v>269</v>
      </c>
      <c r="F72" s="8" t="s">
        <v>261</v>
      </c>
      <c r="G72" s="8"/>
      <c r="H72" s="8" t="s">
        <v>48</v>
      </c>
      <c r="I72" s="8" t="n">
        <v>1</v>
      </c>
      <c r="J72" s="8"/>
      <c r="K72" s="8"/>
      <c r="L72" s="8"/>
      <c r="M72" s="8"/>
    </row>
    <row r="73" customFormat="false" ht="36" hidden="false" customHeight="true" outlineLevel="0" collapsed="false">
      <c r="A73" s="8" t="s">
        <v>270</v>
      </c>
      <c r="B73" s="8" t="s">
        <v>75</v>
      </c>
      <c r="C73" s="8" t="s">
        <v>67</v>
      </c>
      <c r="D73" s="8" t="s">
        <v>271</v>
      </c>
      <c r="E73" s="8" t="s">
        <v>272</v>
      </c>
      <c r="F73" s="8" t="s">
        <v>261</v>
      </c>
      <c r="G73" s="8"/>
      <c r="H73" s="8" t="s">
        <v>48</v>
      </c>
      <c r="I73" s="8" t="n">
        <v>1</v>
      </c>
      <c r="J73" s="8"/>
      <c r="K73" s="8"/>
      <c r="L73" s="8"/>
      <c r="M73" s="8"/>
    </row>
    <row r="74" customFormat="false" ht="36" hidden="false" customHeight="true" outlineLevel="0" collapsed="false">
      <c r="A74" s="8" t="s">
        <v>273</v>
      </c>
      <c r="B74" s="8" t="s">
        <v>75</v>
      </c>
      <c r="C74" s="8" t="s">
        <v>67</v>
      </c>
      <c r="D74" s="8" t="s">
        <v>274</v>
      </c>
      <c r="E74" s="8" t="s">
        <v>275</v>
      </c>
      <c r="F74" s="8" t="s">
        <v>47</v>
      </c>
      <c r="G74" s="8"/>
      <c r="H74" s="8" t="s">
        <v>48</v>
      </c>
      <c r="I74" s="8" t="n">
        <v>1</v>
      </c>
      <c r="J74" s="8"/>
      <c r="K74" s="8"/>
      <c r="L74" s="8"/>
      <c r="M74" s="8"/>
    </row>
    <row r="75" customFormat="false" ht="36" hidden="false" customHeight="true" outlineLevel="0" collapsed="false">
      <c r="A75" s="8" t="s">
        <v>276</v>
      </c>
      <c r="B75" s="8" t="s">
        <v>75</v>
      </c>
      <c r="C75" s="8" t="s">
        <v>67</v>
      </c>
      <c r="D75" s="8" t="s">
        <v>277</v>
      </c>
      <c r="E75" s="8" t="s">
        <v>278</v>
      </c>
      <c r="F75" s="8" t="s">
        <v>47</v>
      </c>
      <c r="G75" s="8"/>
      <c r="H75" s="8" t="s">
        <v>48</v>
      </c>
      <c r="I75" s="8" t="n">
        <v>1</v>
      </c>
      <c r="J75" s="8"/>
      <c r="K75" s="8"/>
      <c r="L75" s="8"/>
      <c r="M75" s="8"/>
    </row>
    <row r="76" customFormat="false" ht="36" hidden="false" customHeight="true" outlineLevel="0" collapsed="false">
      <c r="A76" s="8" t="s">
        <v>279</v>
      </c>
      <c r="B76" s="8" t="s">
        <v>75</v>
      </c>
      <c r="C76" s="8" t="s">
        <v>67</v>
      </c>
      <c r="D76" s="8" t="s">
        <v>280</v>
      </c>
      <c r="E76" s="8" t="s">
        <v>281</v>
      </c>
      <c r="F76" s="8" t="s">
        <v>47</v>
      </c>
      <c r="G76" s="8"/>
      <c r="H76" s="8" t="s">
        <v>48</v>
      </c>
      <c r="I76" s="8" t="n">
        <v>1</v>
      </c>
      <c r="J76" s="8"/>
      <c r="K76" s="8"/>
      <c r="L76" s="8"/>
      <c r="M76" s="8"/>
    </row>
    <row r="77" customFormat="false" ht="36" hidden="false" customHeight="true" outlineLevel="0" collapsed="false">
      <c r="A77" s="8" t="s">
        <v>282</v>
      </c>
      <c r="B77" s="8" t="s">
        <v>75</v>
      </c>
      <c r="C77" s="8" t="s">
        <v>67</v>
      </c>
      <c r="D77" s="8" t="s">
        <v>283</v>
      </c>
      <c r="E77" s="8" t="s">
        <v>284</v>
      </c>
      <c r="F77" s="8" t="s">
        <v>285</v>
      </c>
      <c r="G77" s="8"/>
      <c r="H77" s="8" t="s">
        <v>48</v>
      </c>
      <c r="I77" s="8" t="n">
        <v>1</v>
      </c>
      <c r="J77" s="8"/>
      <c r="K77" s="8"/>
      <c r="L77" s="8"/>
      <c r="M77" s="8"/>
    </row>
    <row r="78" customFormat="false" ht="36" hidden="false" customHeight="true" outlineLevel="0" collapsed="false">
      <c r="A78" s="8" t="s">
        <v>286</v>
      </c>
      <c r="B78" s="8" t="s">
        <v>75</v>
      </c>
      <c r="C78" s="8" t="s">
        <v>44</v>
      </c>
      <c r="D78" s="8" t="s">
        <v>287</v>
      </c>
      <c r="E78" s="8" t="s">
        <v>288</v>
      </c>
      <c r="F78" s="8" t="s">
        <v>289</v>
      </c>
      <c r="G78" s="8"/>
      <c r="H78" s="8" t="s">
        <v>48</v>
      </c>
      <c r="I78" s="8" t="n">
        <v>1</v>
      </c>
      <c r="J78" s="8"/>
      <c r="K78" s="8"/>
      <c r="L78" s="8"/>
      <c r="M78" s="8"/>
    </row>
    <row r="79" customFormat="false" ht="36" hidden="false" customHeight="true" outlineLevel="0" collapsed="false">
      <c r="A79" s="8" t="s">
        <v>290</v>
      </c>
      <c r="B79" s="8" t="s">
        <v>75</v>
      </c>
      <c r="C79" s="8" t="s">
        <v>54</v>
      </c>
      <c r="D79" s="8" t="s">
        <v>291</v>
      </c>
      <c r="E79" s="8" t="s">
        <v>292</v>
      </c>
      <c r="F79" s="8" t="s">
        <v>293</v>
      </c>
      <c r="G79" s="8"/>
      <c r="H79" s="8" t="s">
        <v>48</v>
      </c>
      <c r="I79" s="8" t="n">
        <v>1</v>
      </c>
      <c r="J79" s="8"/>
      <c r="K79" s="8"/>
      <c r="L79" s="8"/>
      <c r="M79" s="8"/>
    </row>
    <row r="80" customFormat="false" ht="36" hidden="false" customHeight="true" outlineLevel="0" collapsed="false">
      <c r="A80" s="8" t="s">
        <v>294</v>
      </c>
      <c r="B80" s="8" t="s">
        <v>75</v>
      </c>
      <c r="C80" s="8" t="s">
        <v>221</v>
      </c>
      <c r="D80" s="8" t="s">
        <v>295</v>
      </c>
      <c r="E80" s="8" t="s">
        <v>296</v>
      </c>
      <c r="F80" s="8" t="s">
        <v>207</v>
      </c>
      <c r="G80" s="8"/>
      <c r="H80" s="8" t="s">
        <v>48</v>
      </c>
      <c r="I80" s="8" t="n">
        <v>1</v>
      </c>
      <c r="J80" s="8"/>
      <c r="K80" s="8"/>
      <c r="L80" s="8"/>
      <c r="M80" s="8"/>
    </row>
    <row r="81" customFormat="false" ht="36" hidden="false" customHeight="true" outlineLevel="0" collapsed="false">
      <c r="A81" s="8" t="s">
        <v>297</v>
      </c>
      <c r="B81" s="8" t="s">
        <v>75</v>
      </c>
      <c r="C81" s="8" t="s">
        <v>44</v>
      </c>
      <c r="D81" s="8" t="s">
        <v>298</v>
      </c>
      <c r="E81" s="8" t="s">
        <v>299</v>
      </c>
      <c r="F81" s="8" t="s">
        <v>300</v>
      </c>
      <c r="G81" s="8"/>
      <c r="H81" s="8" t="s">
        <v>48</v>
      </c>
      <c r="I81" s="8" t="n">
        <v>1</v>
      </c>
      <c r="J81" s="8"/>
      <c r="K81" s="8"/>
      <c r="L81" s="8"/>
      <c r="M81" s="8"/>
    </row>
    <row r="82" customFormat="false" ht="36" hidden="false" customHeight="true" outlineLevel="0" collapsed="false">
      <c r="A82" s="8" t="s">
        <v>301</v>
      </c>
      <c r="B82" s="8" t="s">
        <v>302</v>
      </c>
      <c r="C82" s="8" t="s">
        <v>67</v>
      </c>
      <c r="D82" s="8" t="s">
        <v>303</v>
      </c>
      <c r="E82" s="8" t="s">
        <v>304</v>
      </c>
      <c r="F82" s="8" t="s">
        <v>133</v>
      </c>
      <c r="G82" s="8"/>
      <c r="H82" s="8" t="s">
        <v>48</v>
      </c>
      <c r="I82" s="8" t="n">
        <v>1</v>
      </c>
      <c r="J82" s="8"/>
      <c r="K82" s="8"/>
      <c r="L82" s="8"/>
      <c r="M82" s="8"/>
    </row>
    <row r="83" customFormat="false" ht="36" hidden="false" customHeight="true" outlineLevel="0" collapsed="false">
      <c r="A83" s="8" t="s">
        <v>305</v>
      </c>
      <c r="B83" s="8" t="s">
        <v>302</v>
      </c>
      <c r="C83" s="8" t="s">
        <v>44</v>
      </c>
      <c r="D83" s="8" t="s">
        <v>306</v>
      </c>
      <c r="E83" s="8" t="s">
        <v>307</v>
      </c>
      <c r="F83" s="8" t="s">
        <v>301</v>
      </c>
      <c r="G83" s="8"/>
      <c r="H83" s="8" t="s">
        <v>48</v>
      </c>
      <c r="I83" s="8" t="n">
        <v>1</v>
      </c>
      <c r="J83" s="8"/>
      <c r="K83" s="8"/>
      <c r="L83" s="8"/>
      <c r="M83" s="8"/>
    </row>
    <row r="84" customFormat="false" ht="36" hidden="false" customHeight="true" outlineLevel="0" collapsed="false">
      <c r="A84" s="8" t="s">
        <v>308</v>
      </c>
      <c r="B84" s="8" t="s">
        <v>302</v>
      </c>
      <c r="C84" s="8" t="s">
        <v>54</v>
      </c>
      <c r="D84" s="8" t="s">
        <v>309</v>
      </c>
      <c r="E84" s="8" t="s">
        <v>310</v>
      </c>
      <c r="F84" s="8" t="s">
        <v>301</v>
      </c>
      <c r="G84" s="8"/>
      <c r="H84" s="8" t="s">
        <v>48</v>
      </c>
      <c r="I84" s="8" t="n">
        <v>1</v>
      </c>
      <c r="J84" s="8"/>
      <c r="K84" s="8"/>
      <c r="L84" s="8"/>
      <c r="M84" s="8"/>
    </row>
    <row r="85" customFormat="false" ht="36" hidden="false" customHeight="true" outlineLevel="0" collapsed="false">
      <c r="A85" s="8" t="s">
        <v>311</v>
      </c>
      <c r="B85" s="8" t="s">
        <v>302</v>
      </c>
      <c r="C85" s="8" t="s">
        <v>67</v>
      </c>
      <c r="D85" s="8" t="s">
        <v>312</v>
      </c>
      <c r="E85" s="8" t="s">
        <v>313</v>
      </c>
      <c r="F85" s="8" t="s">
        <v>301</v>
      </c>
      <c r="G85" s="8"/>
      <c r="H85" s="8" t="s">
        <v>48</v>
      </c>
      <c r="I85" s="8" t="n">
        <v>1</v>
      </c>
      <c r="J85" s="8"/>
      <c r="K85" s="8"/>
      <c r="L85" s="8"/>
      <c r="M85" s="8"/>
    </row>
    <row r="86" customFormat="false" ht="36" hidden="false" customHeight="true" outlineLevel="0" collapsed="false">
      <c r="A86" s="8" t="s">
        <v>314</v>
      </c>
      <c r="B86" s="8" t="s">
        <v>302</v>
      </c>
      <c r="C86" s="8" t="s">
        <v>54</v>
      </c>
      <c r="D86" s="8" t="s">
        <v>315</v>
      </c>
      <c r="E86" s="8" t="s">
        <v>316</v>
      </c>
      <c r="F86" s="8" t="s">
        <v>301</v>
      </c>
      <c r="G86" s="8"/>
      <c r="H86" s="8" t="s">
        <v>48</v>
      </c>
      <c r="I86" s="8" t="n">
        <v>1</v>
      </c>
      <c r="J86" s="8"/>
      <c r="K86" s="8"/>
      <c r="L86" s="8"/>
      <c r="M86" s="8"/>
    </row>
    <row r="87" customFormat="false" ht="36" hidden="false" customHeight="true" outlineLevel="0" collapsed="false">
      <c r="A87" s="8" t="s">
        <v>317</v>
      </c>
      <c r="B87" s="8" t="s">
        <v>302</v>
      </c>
      <c r="C87" s="8" t="s">
        <v>67</v>
      </c>
      <c r="D87" s="8" t="s">
        <v>318</v>
      </c>
      <c r="E87" s="8" t="s">
        <v>319</v>
      </c>
      <c r="F87" s="8" t="s">
        <v>301</v>
      </c>
      <c r="G87" s="8"/>
      <c r="H87" s="8" t="s">
        <v>48</v>
      </c>
      <c r="I87" s="8" t="n">
        <v>1</v>
      </c>
      <c r="J87" s="8"/>
      <c r="K87" s="8"/>
      <c r="L87" s="8"/>
      <c r="M87" s="8"/>
    </row>
    <row r="88" customFormat="false" ht="36" hidden="false" customHeight="true" outlineLevel="0" collapsed="false">
      <c r="A88" s="8" t="s">
        <v>320</v>
      </c>
      <c r="B88" s="8" t="s">
        <v>302</v>
      </c>
      <c r="C88" s="8" t="s">
        <v>44</v>
      </c>
      <c r="D88" s="8" t="s">
        <v>321</v>
      </c>
      <c r="E88" s="8" t="s">
        <v>322</v>
      </c>
      <c r="F88" s="8" t="s">
        <v>305</v>
      </c>
      <c r="G88" s="8"/>
      <c r="H88" s="8" t="s">
        <v>48</v>
      </c>
      <c r="I88" s="8" t="n">
        <v>1</v>
      </c>
      <c r="J88" s="8"/>
      <c r="K88" s="8"/>
      <c r="L88" s="8"/>
      <c r="M88" s="8"/>
    </row>
    <row r="89" customFormat="false" ht="36" hidden="false" customHeight="true" outlineLevel="0" collapsed="false">
      <c r="A89" s="8" t="s">
        <v>323</v>
      </c>
      <c r="B89" s="8" t="s">
        <v>302</v>
      </c>
      <c r="C89" s="8" t="s">
        <v>67</v>
      </c>
      <c r="D89" s="8" t="s">
        <v>324</v>
      </c>
      <c r="E89" s="8" t="s">
        <v>325</v>
      </c>
      <c r="F89" s="8" t="s">
        <v>326</v>
      </c>
      <c r="G89" s="8"/>
      <c r="H89" s="8" t="s">
        <v>48</v>
      </c>
      <c r="I89" s="8" t="n">
        <v>1</v>
      </c>
      <c r="J89" s="8"/>
      <c r="K89" s="8"/>
      <c r="L89" s="8"/>
      <c r="M89" s="8"/>
    </row>
    <row r="90" customFormat="false" ht="36" hidden="false" customHeight="true" outlineLevel="0" collapsed="false">
      <c r="A90" s="8" t="s">
        <v>327</v>
      </c>
      <c r="B90" s="8" t="s">
        <v>302</v>
      </c>
      <c r="C90" s="8" t="s">
        <v>67</v>
      </c>
      <c r="D90" s="8" t="s">
        <v>328</v>
      </c>
      <c r="E90" s="8" t="s">
        <v>329</v>
      </c>
      <c r="F90" s="8" t="s">
        <v>87</v>
      </c>
      <c r="G90" s="8"/>
      <c r="H90" s="8" t="s">
        <v>48</v>
      </c>
      <c r="I90" s="8" t="n">
        <v>1</v>
      </c>
      <c r="J90" s="8"/>
      <c r="K90" s="8"/>
      <c r="L90" s="8"/>
      <c r="M90" s="8"/>
    </row>
    <row r="91" customFormat="false" ht="36" hidden="false" customHeight="true" outlineLevel="0" collapsed="false">
      <c r="A91" s="8" t="s">
        <v>330</v>
      </c>
      <c r="B91" s="8" t="s">
        <v>302</v>
      </c>
      <c r="C91" s="8" t="s">
        <v>44</v>
      </c>
      <c r="D91" s="8" t="s">
        <v>331</v>
      </c>
      <c r="E91" s="8" t="s">
        <v>332</v>
      </c>
      <c r="F91" s="8" t="s">
        <v>198</v>
      </c>
      <c r="G91" s="8"/>
      <c r="H91" s="8" t="s">
        <v>48</v>
      </c>
      <c r="I91" s="8" t="n">
        <v>1</v>
      </c>
      <c r="J91" s="8"/>
      <c r="K91" s="8"/>
      <c r="L91" s="8"/>
      <c r="M91" s="8"/>
    </row>
    <row r="92" customFormat="false" ht="36" hidden="false" customHeight="true" outlineLevel="0" collapsed="false">
      <c r="A92" s="8" t="s">
        <v>333</v>
      </c>
      <c r="B92" s="8" t="s">
        <v>302</v>
      </c>
      <c r="C92" s="8" t="s">
        <v>67</v>
      </c>
      <c r="D92" s="8" t="s">
        <v>334</v>
      </c>
      <c r="E92" s="8" t="s">
        <v>335</v>
      </c>
      <c r="F92" s="8" t="s">
        <v>336</v>
      </c>
      <c r="G92" s="8"/>
      <c r="H92" s="8" t="s">
        <v>48</v>
      </c>
      <c r="I92" s="8" t="n">
        <v>1</v>
      </c>
      <c r="J92" s="8"/>
      <c r="K92" s="8"/>
      <c r="L92" s="8"/>
      <c r="M92" s="8"/>
    </row>
    <row r="93" customFormat="false" ht="36" hidden="false" customHeight="true" outlineLevel="0" collapsed="false">
      <c r="A93" s="8" t="s">
        <v>337</v>
      </c>
      <c r="B93" s="8" t="s">
        <v>302</v>
      </c>
      <c r="C93" s="8" t="s">
        <v>54</v>
      </c>
      <c r="D93" s="8" t="s">
        <v>338</v>
      </c>
      <c r="E93" s="8" t="s">
        <v>339</v>
      </c>
      <c r="F93" s="8" t="s">
        <v>327</v>
      </c>
      <c r="G93" s="8"/>
      <c r="H93" s="8" t="s">
        <v>48</v>
      </c>
      <c r="I93" s="8" t="n">
        <v>1</v>
      </c>
      <c r="J93" s="8"/>
      <c r="K93" s="8"/>
      <c r="L93" s="8"/>
      <c r="M93" s="8"/>
    </row>
    <row r="94" customFormat="false" ht="36" hidden="false" customHeight="true" outlineLevel="0" collapsed="false">
      <c r="A94" s="8" t="s">
        <v>340</v>
      </c>
      <c r="B94" s="8" t="s">
        <v>302</v>
      </c>
      <c r="C94" s="8" t="s">
        <v>67</v>
      </c>
      <c r="D94" s="8" t="s">
        <v>341</v>
      </c>
      <c r="E94" s="8" t="s">
        <v>342</v>
      </c>
      <c r="F94" s="8" t="s">
        <v>330</v>
      </c>
      <c r="G94" s="8"/>
      <c r="H94" s="8" t="s">
        <v>48</v>
      </c>
      <c r="I94" s="8" t="n">
        <v>1</v>
      </c>
      <c r="J94" s="8"/>
      <c r="K94" s="8"/>
      <c r="L94" s="8"/>
      <c r="M94" s="8"/>
    </row>
    <row r="95" customFormat="false" ht="36" hidden="false" customHeight="true" outlineLevel="0" collapsed="false">
      <c r="A95" s="8" t="s">
        <v>343</v>
      </c>
      <c r="B95" s="8" t="s">
        <v>302</v>
      </c>
      <c r="C95" s="8" t="s">
        <v>44</v>
      </c>
      <c r="D95" s="8" t="s">
        <v>344</v>
      </c>
      <c r="E95" s="8" t="s">
        <v>345</v>
      </c>
      <c r="F95" s="8" t="s">
        <v>340</v>
      </c>
      <c r="G95" s="8"/>
      <c r="H95" s="8" t="s">
        <v>48</v>
      </c>
      <c r="I95" s="8" t="n">
        <v>1</v>
      </c>
      <c r="J95" s="8"/>
      <c r="K95" s="8"/>
      <c r="L95" s="8"/>
      <c r="M95" s="8"/>
    </row>
    <row r="96" customFormat="false" ht="36" hidden="false" customHeight="true" outlineLevel="0" collapsed="false">
      <c r="A96" s="8" t="s">
        <v>346</v>
      </c>
      <c r="B96" s="8" t="s">
        <v>302</v>
      </c>
      <c r="C96" s="8" t="s">
        <v>67</v>
      </c>
      <c r="D96" s="8" t="s">
        <v>347</v>
      </c>
      <c r="E96" s="8" t="s">
        <v>348</v>
      </c>
      <c r="F96" s="8" t="s">
        <v>340</v>
      </c>
      <c r="G96" s="8"/>
      <c r="H96" s="8" t="s">
        <v>48</v>
      </c>
      <c r="I96" s="8" t="n">
        <v>1</v>
      </c>
      <c r="J96" s="8"/>
      <c r="K96" s="8"/>
      <c r="L96" s="8"/>
      <c r="M96" s="8"/>
    </row>
    <row r="97" customFormat="false" ht="36" hidden="false" customHeight="true" outlineLevel="0" collapsed="false">
      <c r="A97" s="8" t="s">
        <v>349</v>
      </c>
      <c r="B97" s="8" t="s">
        <v>302</v>
      </c>
      <c r="C97" s="8" t="s">
        <v>54</v>
      </c>
      <c r="D97" s="8" t="s">
        <v>350</v>
      </c>
      <c r="E97" s="8" t="s">
        <v>351</v>
      </c>
      <c r="F97" s="8" t="s">
        <v>340</v>
      </c>
      <c r="G97" s="8"/>
      <c r="H97" s="8" t="s">
        <v>48</v>
      </c>
      <c r="I97" s="8" t="n">
        <v>1</v>
      </c>
      <c r="J97" s="8"/>
      <c r="K97" s="8"/>
      <c r="L97" s="8"/>
      <c r="M97" s="8"/>
    </row>
    <row r="98" customFormat="false" ht="36" hidden="false" customHeight="true" outlineLevel="0" collapsed="false">
      <c r="A98" s="8" t="s">
        <v>352</v>
      </c>
      <c r="B98" s="8" t="s">
        <v>302</v>
      </c>
      <c r="C98" s="8" t="s">
        <v>44</v>
      </c>
      <c r="D98" s="8" t="s">
        <v>353</v>
      </c>
      <c r="E98" s="8" t="s">
        <v>354</v>
      </c>
      <c r="F98" s="8" t="s">
        <v>201</v>
      </c>
      <c r="G98" s="8"/>
      <c r="H98" s="8" t="s">
        <v>48</v>
      </c>
      <c r="I98" s="8" t="n">
        <v>1</v>
      </c>
      <c r="J98" s="8"/>
      <c r="K98" s="8"/>
      <c r="L98" s="8"/>
      <c r="M98" s="8"/>
    </row>
    <row r="99" customFormat="false" ht="36" hidden="false" customHeight="true" outlineLevel="0" collapsed="false">
      <c r="A99" s="8" t="s">
        <v>355</v>
      </c>
      <c r="B99" s="8" t="s">
        <v>302</v>
      </c>
      <c r="C99" s="8" t="s">
        <v>44</v>
      </c>
      <c r="D99" s="8" t="s">
        <v>356</v>
      </c>
      <c r="E99" s="8" t="s">
        <v>357</v>
      </c>
      <c r="F99" s="8" t="s">
        <v>358</v>
      </c>
      <c r="G99" s="8"/>
      <c r="H99" s="8" t="s">
        <v>48</v>
      </c>
      <c r="I99" s="8" t="n">
        <v>1</v>
      </c>
      <c r="J99" s="8"/>
      <c r="K99" s="8"/>
      <c r="L99" s="8"/>
      <c r="M99" s="8"/>
    </row>
    <row r="100" customFormat="false" ht="36" hidden="false" customHeight="true" outlineLevel="0" collapsed="false">
      <c r="A100" s="8" t="s">
        <v>359</v>
      </c>
      <c r="B100" s="8" t="s">
        <v>302</v>
      </c>
      <c r="C100" s="8" t="s">
        <v>44</v>
      </c>
      <c r="D100" s="8" t="s">
        <v>360</v>
      </c>
      <c r="E100" s="8" t="s">
        <v>361</v>
      </c>
      <c r="F100" s="8" t="s">
        <v>355</v>
      </c>
      <c r="G100" s="8"/>
      <c r="H100" s="8" t="s">
        <v>48</v>
      </c>
      <c r="I100" s="8" t="n">
        <v>1</v>
      </c>
      <c r="J100" s="8"/>
      <c r="K100" s="8"/>
      <c r="L100" s="8"/>
      <c r="M100" s="8"/>
    </row>
    <row r="101" customFormat="false" ht="36" hidden="false" customHeight="true" outlineLevel="0" collapsed="false">
      <c r="A101" s="8" t="s">
        <v>362</v>
      </c>
      <c r="B101" s="8" t="s">
        <v>302</v>
      </c>
      <c r="C101" s="8" t="s">
        <v>67</v>
      </c>
      <c r="D101" s="8" t="s">
        <v>363</v>
      </c>
      <c r="E101" s="8" t="s">
        <v>364</v>
      </c>
      <c r="F101" s="8" t="s">
        <v>355</v>
      </c>
      <c r="G101" s="8"/>
      <c r="H101" s="8" t="s">
        <v>48</v>
      </c>
      <c r="I101" s="8" t="n">
        <v>1</v>
      </c>
      <c r="J101" s="8"/>
      <c r="K101" s="8"/>
      <c r="L101" s="8"/>
      <c r="M101" s="8"/>
    </row>
    <row r="102" customFormat="false" ht="36" hidden="false" customHeight="true" outlineLevel="0" collapsed="false">
      <c r="A102" s="8" t="s">
        <v>365</v>
      </c>
      <c r="B102" s="8" t="s">
        <v>302</v>
      </c>
      <c r="C102" s="8" t="s">
        <v>67</v>
      </c>
      <c r="D102" s="8" t="s">
        <v>366</v>
      </c>
      <c r="E102" s="8" t="s">
        <v>367</v>
      </c>
      <c r="F102" s="8" t="s">
        <v>352</v>
      </c>
      <c r="G102" s="8"/>
      <c r="H102" s="8" t="s">
        <v>48</v>
      </c>
      <c r="I102" s="8" t="n">
        <v>1</v>
      </c>
      <c r="J102" s="8"/>
      <c r="K102" s="8"/>
      <c r="L102" s="8"/>
      <c r="M102" s="8"/>
    </row>
    <row r="103" customFormat="false" ht="36" hidden="false" customHeight="true" outlineLevel="0" collapsed="false">
      <c r="A103" s="8" t="s">
        <v>368</v>
      </c>
      <c r="B103" s="8" t="s">
        <v>302</v>
      </c>
      <c r="C103" s="8" t="s">
        <v>67</v>
      </c>
      <c r="D103" s="8" t="s">
        <v>369</v>
      </c>
      <c r="E103" s="8" t="s">
        <v>370</v>
      </c>
      <c r="F103" s="8" t="s">
        <v>359</v>
      </c>
      <c r="G103" s="8"/>
      <c r="H103" s="8" t="s">
        <v>48</v>
      </c>
      <c r="I103" s="8" t="n">
        <v>1</v>
      </c>
      <c r="J103" s="8"/>
      <c r="K103" s="8"/>
      <c r="L103" s="8"/>
      <c r="M103" s="8"/>
    </row>
    <row r="104" customFormat="false" ht="36" hidden="false" customHeight="true" outlineLevel="0" collapsed="false">
      <c r="A104" s="8" t="s">
        <v>371</v>
      </c>
      <c r="B104" s="8" t="s">
        <v>302</v>
      </c>
      <c r="C104" s="8" t="s">
        <v>54</v>
      </c>
      <c r="D104" s="8" t="s">
        <v>372</v>
      </c>
      <c r="E104" s="8" t="s">
        <v>373</v>
      </c>
      <c r="F104" s="8" t="s">
        <v>355</v>
      </c>
      <c r="G104" s="8"/>
      <c r="H104" s="8" t="s">
        <v>48</v>
      </c>
      <c r="I104" s="8" t="n">
        <v>1</v>
      </c>
      <c r="J104" s="8"/>
      <c r="K104" s="8"/>
      <c r="L104" s="8"/>
      <c r="M104" s="8"/>
    </row>
    <row r="105" customFormat="false" ht="36" hidden="false" customHeight="true" outlineLevel="0" collapsed="false">
      <c r="A105" s="8" t="s">
        <v>374</v>
      </c>
      <c r="B105" s="8" t="s">
        <v>302</v>
      </c>
      <c r="C105" s="8" t="s">
        <v>54</v>
      </c>
      <c r="D105" s="8" t="s">
        <v>375</v>
      </c>
      <c r="E105" s="8" t="s">
        <v>376</v>
      </c>
      <c r="F105" s="8" t="s">
        <v>359</v>
      </c>
      <c r="G105" s="8"/>
      <c r="H105" s="8" t="s">
        <v>48</v>
      </c>
      <c r="I105" s="8" t="n">
        <v>1</v>
      </c>
      <c r="J105" s="8"/>
      <c r="K105" s="8"/>
      <c r="L105" s="8"/>
      <c r="M105" s="8"/>
    </row>
    <row r="106" customFormat="false" ht="36" hidden="false" customHeight="true" outlineLevel="0" collapsed="false">
      <c r="A106" s="8" t="s">
        <v>377</v>
      </c>
      <c r="B106" s="8" t="s">
        <v>302</v>
      </c>
      <c r="C106" s="8" t="s">
        <v>44</v>
      </c>
      <c r="D106" s="8" t="s">
        <v>378</v>
      </c>
      <c r="E106" s="8" t="s">
        <v>379</v>
      </c>
      <c r="F106" s="8" t="s">
        <v>380</v>
      </c>
      <c r="G106" s="8"/>
      <c r="H106" s="8" t="s">
        <v>48</v>
      </c>
      <c r="I106" s="8" t="n">
        <v>1</v>
      </c>
      <c r="J106" s="8"/>
      <c r="K106" s="8"/>
      <c r="L106" s="8"/>
      <c r="M106" s="8"/>
    </row>
    <row r="107" customFormat="false" ht="36" hidden="false" customHeight="true" outlineLevel="0" collapsed="false">
      <c r="A107" s="8" t="s">
        <v>381</v>
      </c>
      <c r="B107" s="8" t="s">
        <v>302</v>
      </c>
      <c r="C107" s="8" t="s">
        <v>44</v>
      </c>
      <c r="D107" s="8" t="s">
        <v>382</v>
      </c>
      <c r="E107" s="8" t="s">
        <v>383</v>
      </c>
      <c r="F107" s="8" t="s">
        <v>352</v>
      </c>
      <c r="G107" s="8"/>
      <c r="H107" s="8" t="s">
        <v>48</v>
      </c>
      <c r="I107" s="8" t="n">
        <v>1</v>
      </c>
      <c r="J107" s="8"/>
      <c r="K107" s="8"/>
      <c r="L107" s="8"/>
      <c r="M107" s="8"/>
    </row>
    <row r="108" customFormat="false" ht="36" hidden="false" customHeight="true" outlineLevel="0" collapsed="false">
      <c r="A108" s="8" t="s">
        <v>384</v>
      </c>
      <c r="B108" s="8" t="s">
        <v>302</v>
      </c>
      <c r="C108" s="8" t="s">
        <v>67</v>
      </c>
      <c r="D108" s="8" t="s">
        <v>385</v>
      </c>
      <c r="E108" s="8" t="s">
        <v>386</v>
      </c>
      <c r="F108" s="8" t="s">
        <v>201</v>
      </c>
      <c r="G108" s="8"/>
      <c r="H108" s="8" t="s">
        <v>48</v>
      </c>
      <c r="I108" s="8" t="n">
        <v>1</v>
      </c>
      <c r="J108" s="8"/>
      <c r="K108" s="8"/>
      <c r="L108" s="8"/>
      <c r="M108" s="8"/>
    </row>
    <row r="109" customFormat="false" ht="36" hidden="false" customHeight="true" outlineLevel="0" collapsed="false">
      <c r="A109" s="8" t="s">
        <v>387</v>
      </c>
      <c r="B109" s="8" t="s">
        <v>302</v>
      </c>
      <c r="C109" s="8" t="s">
        <v>54</v>
      </c>
      <c r="D109" s="8" t="s">
        <v>388</v>
      </c>
      <c r="E109" s="8" t="s">
        <v>389</v>
      </c>
      <c r="F109" s="8" t="s">
        <v>384</v>
      </c>
      <c r="G109" s="8"/>
      <c r="H109" s="8" t="s">
        <v>48</v>
      </c>
      <c r="I109" s="8" t="n">
        <v>1</v>
      </c>
      <c r="J109" s="8"/>
      <c r="K109" s="8"/>
      <c r="L109" s="8"/>
      <c r="M109" s="8"/>
    </row>
    <row r="110" customFormat="false" ht="36" hidden="false" customHeight="true" outlineLevel="0" collapsed="false">
      <c r="A110" s="8" t="s">
        <v>390</v>
      </c>
      <c r="B110" s="8" t="s">
        <v>302</v>
      </c>
      <c r="C110" s="8" t="s">
        <v>67</v>
      </c>
      <c r="D110" s="8" t="s">
        <v>391</v>
      </c>
      <c r="E110" s="8" t="s">
        <v>392</v>
      </c>
      <c r="F110" s="8" t="s">
        <v>384</v>
      </c>
      <c r="G110" s="8"/>
      <c r="H110" s="8" t="s">
        <v>48</v>
      </c>
      <c r="I110" s="8" t="n">
        <v>1</v>
      </c>
      <c r="J110" s="8"/>
      <c r="K110" s="8"/>
      <c r="L110" s="8"/>
      <c r="M110" s="8"/>
    </row>
    <row r="111" customFormat="false" ht="36" hidden="false" customHeight="true" outlineLevel="0" collapsed="false">
      <c r="A111" s="8" t="s">
        <v>393</v>
      </c>
      <c r="B111" s="8" t="s">
        <v>302</v>
      </c>
      <c r="C111" s="8" t="s">
        <v>44</v>
      </c>
      <c r="D111" s="8" t="s">
        <v>394</v>
      </c>
      <c r="E111" s="8" t="s">
        <v>395</v>
      </c>
      <c r="F111" s="8" t="s">
        <v>384</v>
      </c>
      <c r="G111" s="8"/>
      <c r="H111" s="8" t="s">
        <v>48</v>
      </c>
      <c r="I111" s="8" t="n">
        <v>1</v>
      </c>
      <c r="J111" s="8"/>
      <c r="K111" s="8"/>
      <c r="L111" s="8"/>
      <c r="M111" s="8"/>
    </row>
    <row r="112" customFormat="false" ht="36" hidden="false" customHeight="true" outlineLevel="0" collapsed="false">
      <c r="A112" s="8" t="s">
        <v>396</v>
      </c>
      <c r="B112" s="8" t="s">
        <v>302</v>
      </c>
      <c r="C112" s="8" t="s">
        <v>44</v>
      </c>
      <c r="D112" s="8" t="s">
        <v>397</v>
      </c>
      <c r="E112" s="8" t="s">
        <v>398</v>
      </c>
      <c r="F112" s="8" t="s">
        <v>399</v>
      </c>
      <c r="G112" s="8"/>
      <c r="H112" s="8" t="s">
        <v>48</v>
      </c>
      <c r="I112" s="8" t="n">
        <v>1</v>
      </c>
      <c r="J112" s="8"/>
      <c r="K112" s="8"/>
      <c r="L112" s="8"/>
      <c r="M112" s="8"/>
    </row>
    <row r="113" customFormat="false" ht="36" hidden="false" customHeight="true" outlineLevel="0" collapsed="false">
      <c r="A113" s="8" t="s">
        <v>400</v>
      </c>
      <c r="B113" s="8" t="s">
        <v>302</v>
      </c>
      <c r="C113" s="8" t="s">
        <v>67</v>
      </c>
      <c r="D113" s="8" t="s">
        <v>401</v>
      </c>
      <c r="E113" s="8" t="s">
        <v>402</v>
      </c>
      <c r="F113" s="8" t="s">
        <v>276</v>
      </c>
      <c r="G113" s="8"/>
      <c r="H113" s="8" t="s">
        <v>48</v>
      </c>
      <c r="I113" s="8" t="n">
        <v>1</v>
      </c>
      <c r="J113" s="8"/>
      <c r="K113" s="8"/>
      <c r="L113" s="8"/>
      <c r="M113" s="8"/>
    </row>
    <row r="114" customFormat="false" ht="36" hidden="false" customHeight="true" outlineLevel="0" collapsed="false">
      <c r="A114" s="8" t="s">
        <v>403</v>
      </c>
      <c r="B114" s="8" t="s">
        <v>302</v>
      </c>
      <c r="C114" s="8" t="s">
        <v>67</v>
      </c>
      <c r="D114" s="8" t="s">
        <v>404</v>
      </c>
      <c r="E114" s="8" t="s">
        <v>405</v>
      </c>
      <c r="F114" s="8" t="s">
        <v>220</v>
      </c>
      <c r="G114" s="8"/>
      <c r="H114" s="8" t="s">
        <v>48</v>
      </c>
      <c r="I114" s="8" t="n">
        <v>1</v>
      </c>
      <c r="J114" s="8"/>
      <c r="K114" s="8"/>
      <c r="L114" s="8"/>
      <c r="M114" s="8"/>
    </row>
    <row r="115" customFormat="false" ht="36" hidden="false" customHeight="true" outlineLevel="0" collapsed="false">
      <c r="A115" s="8" t="s">
        <v>406</v>
      </c>
      <c r="B115" s="8" t="s">
        <v>302</v>
      </c>
      <c r="C115" s="8" t="s">
        <v>44</v>
      </c>
      <c r="D115" s="8" t="s">
        <v>407</v>
      </c>
      <c r="E115" s="8" t="s">
        <v>408</v>
      </c>
      <c r="F115" s="8" t="s">
        <v>409</v>
      </c>
      <c r="G115" s="8"/>
      <c r="H115" s="8" t="s">
        <v>48</v>
      </c>
      <c r="I115" s="8" t="n">
        <v>1</v>
      </c>
      <c r="J115" s="8"/>
      <c r="K115" s="8"/>
      <c r="L115" s="8"/>
      <c r="M115" s="8"/>
    </row>
    <row r="116" customFormat="false" ht="36" hidden="false" customHeight="true" outlineLevel="0" collapsed="false">
      <c r="A116" s="8" t="s">
        <v>410</v>
      </c>
      <c r="B116" s="8" t="s">
        <v>302</v>
      </c>
      <c r="C116" s="8" t="s">
        <v>67</v>
      </c>
      <c r="D116" s="8" t="s">
        <v>411</v>
      </c>
      <c r="E116" s="8" t="s">
        <v>412</v>
      </c>
      <c r="F116" s="8" t="s">
        <v>204</v>
      </c>
      <c r="G116" s="8"/>
      <c r="H116" s="8" t="s">
        <v>48</v>
      </c>
      <c r="I116" s="8" t="n">
        <v>1</v>
      </c>
      <c r="J116" s="8"/>
      <c r="K116" s="8"/>
      <c r="L116" s="8"/>
      <c r="M116" s="8"/>
    </row>
    <row r="117" customFormat="false" ht="36" hidden="false" customHeight="true" outlineLevel="0" collapsed="false">
      <c r="A117" s="8" t="s">
        <v>413</v>
      </c>
      <c r="B117" s="8" t="s">
        <v>302</v>
      </c>
      <c r="C117" s="8" t="s">
        <v>221</v>
      </c>
      <c r="D117" s="8" t="s">
        <v>414</v>
      </c>
      <c r="E117" s="8" t="s">
        <v>415</v>
      </c>
      <c r="F117" s="8" t="s">
        <v>416</v>
      </c>
      <c r="G117" s="8"/>
      <c r="H117" s="8" t="s">
        <v>48</v>
      </c>
      <c r="I117" s="8" t="n">
        <v>1</v>
      </c>
      <c r="J117" s="8"/>
      <c r="K117" s="8"/>
      <c r="L117" s="8"/>
      <c r="M117" s="8"/>
    </row>
    <row r="118" customFormat="false" ht="36" hidden="false" customHeight="true" outlineLevel="0" collapsed="false">
      <c r="A118" s="8" t="s">
        <v>417</v>
      </c>
      <c r="B118" s="8" t="s">
        <v>302</v>
      </c>
      <c r="C118" s="8" t="s">
        <v>44</v>
      </c>
      <c r="D118" s="8" t="s">
        <v>418</v>
      </c>
      <c r="E118" s="8" t="s">
        <v>419</v>
      </c>
      <c r="F118" s="8" t="s">
        <v>396</v>
      </c>
      <c r="G118" s="8"/>
      <c r="H118" s="8" t="s">
        <v>48</v>
      </c>
      <c r="I118" s="8" t="n">
        <v>1</v>
      </c>
      <c r="J118" s="8"/>
      <c r="K118" s="8"/>
      <c r="L118" s="8"/>
      <c r="M118" s="8"/>
    </row>
    <row r="119" customFormat="false" ht="36" hidden="false" customHeight="true" outlineLevel="0" collapsed="false">
      <c r="A119" s="8" t="s">
        <v>420</v>
      </c>
      <c r="B119" s="8" t="s">
        <v>421</v>
      </c>
      <c r="C119" s="8" t="s">
        <v>221</v>
      </c>
      <c r="D119" s="8" t="s">
        <v>422</v>
      </c>
      <c r="E119" s="8" t="s">
        <v>423</v>
      </c>
      <c r="F119" s="8" t="s">
        <v>396</v>
      </c>
      <c r="G119" s="8"/>
      <c r="H119" s="8" t="s">
        <v>48</v>
      </c>
      <c r="I119" s="8" t="n">
        <v>1</v>
      </c>
      <c r="J119" s="8"/>
      <c r="K119" s="8"/>
      <c r="L119" s="8"/>
      <c r="M119" s="8"/>
    </row>
    <row r="120" customFormat="false" ht="36" hidden="false" customHeight="true" outlineLevel="0" collapsed="false">
      <c r="A120" s="8" t="s">
        <v>424</v>
      </c>
      <c r="B120" s="8" t="s">
        <v>421</v>
      </c>
      <c r="C120" s="8" t="s">
        <v>221</v>
      </c>
      <c r="D120" s="8" t="s">
        <v>425</v>
      </c>
      <c r="E120" s="8" t="s">
        <v>426</v>
      </c>
      <c r="F120" s="8" t="s">
        <v>420</v>
      </c>
      <c r="G120" s="8"/>
      <c r="H120" s="8" t="s">
        <v>48</v>
      </c>
      <c r="I120" s="8" t="n">
        <v>1</v>
      </c>
      <c r="J120" s="8"/>
      <c r="K120" s="8"/>
      <c r="L120" s="8"/>
      <c r="M120" s="8"/>
    </row>
    <row r="121" customFormat="false" ht="36" hidden="false" customHeight="true" outlineLevel="0" collapsed="false">
      <c r="A121" s="8" t="s">
        <v>427</v>
      </c>
      <c r="B121" s="8" t="s">
        <v>421</v>
      </c>
      <c r="C121" s="8" t="s">
        <v>54</v>
      </c>
      <c r="D121" s="8" t="s">
        <v>428</v>
      </c>
      <c r="E121" s="8" t="s">
        <v>429</v>
      </c>
      <c r="F121" s="8" t="s">
        <v>424</v>
      </c>
      <c r="G121" s="8"/>
      <c r="H121" s="8" t="s">
        <v>48</v>
      </c>
      <c r="I121" s="8" t="n">
        <v>1</v>
      </c>
      <c r="J121" s="8"/>
      <c r="K121" s="8"/>
      <c r="L121" s="8"/>
      <c r="M121" s="8"/>
    </row>
    <row r="122" customFormat="false" ht="36" hidden="false" customHeight="true" outlineLevel="0" collapsed="false">
      <c r="A122" s="8" t="s">
        <v>430</v>
      </c>
      <c r="B122" s="8" t="s">
        <v>421</v>
      </c>
      <c r="C122" s="8" t="s">
        <v>54</v>
      </c>
      <c r="D122" s="8" t="s">
        <v>431</v>
      </c>
      <c r="E122" s="8" t="s">
        <v>432</v>
      </c>
      <c r="F122" s="8" t="s">
        <v>427</v>
      </c>
      <c r="G122" s="8"/>
      <c r="H122" s="8" t="s">
        <v>48</v>
      </c>
      <c r="I122" s="8" t="n">
        <v>1</v>
      </c>
      <c r="J122" s="8"/>
      <c r="K122" s="8"/>
      <c r="L122" s="8"/>
      <c r="M122" s="8"/>
    </row>
    <row r="123" customFormat="false" ht="36" hidden="false" customHeight="true" outlineLevel="0" collapsed="false">
      <c r="A123" s="8" t="s">
        <v>433</v>
      </c>
      <c r="B123" s="8" t="s">
        <v>421</v>
      </c>
      <c r="C123" s="8" t="s">
        <v>54</v>
      </c>
      <c r="D123" s="8" t="s">
        <v>434</v>
      </c>
      <c r="E123" s="8" t="s">
        <v>435</v>
      </c>
      <c r="F123" s="8" t="s">
        <v>424</v>
      </c>
      <c r="G123" s="8"/>
      <c r="H123" s="8" t="s">
        <v>48</v>
      </c>
      <c r="I123" s="8" t="n">
        <v>1</v>
      </c>
      <c r="J123" s="8"/>
      <c r="K123" s="8"/>
      <c r="L123" s="8"/>
      <c r="M123" s="8"/>
    </row>
    <row r="124" customFormat="false" ht="36" hidden="false" customHeight="true" outlineLevel="0" collapsed="false">
      <c r="A124" s="8" t="s">
        <v>436</v>
      </c>
      <c r="B124" s="8" t="s">
        <v>421</v>
      </c>
      <c r="C124" s="8" t="s">
        <v>54</v>
      </c>
      <c r="D124" s="8" t="s">
        <v>437</v>
      </c>
      <c r="E124" s="8" t="s">
        <v>438</v>
      </c>
      <c r="F124" s="8" t="s">
        <v>433</v>
      </c>
      <c r="G124" s="8"/>
      <c r="H124" s="8" t="s">
        <v>48</v>
      </c>
      <c r="I124" s="8" t="n">
        <v>1</v>
      </c>
      <c r="J124" s="8"/>
      <c r="K124" s="8"/>
      <c r="L124" s="8"/>
      <c r="M124" s="8"/>
    </row>
    <row r="125" customFormat="false" ht="36" hidden="false" customHeight="true" outlineLevel="0" collapsed="false">
      <c r="A125" s="8" t="s">
        <v>439</v>
      </c>
      <c r="B125" s="8" t="s">
        <v>421</v>
      </c>
      <c r="C125" s="8" t="s">
        <v>44</v>
      </c>
      <c r="D125" s="8" t="s">
        <v>440</v>
      </c>
      <c r="E125" s="8" t="s">
        <v>441</v>
      </c>
      <c r="F125" s="8" t="s">
        <v>442</v>
      </c>
      <c r="G125" s="8"/>
      <c r="H125" s="8" t="s">
        <v>48</v>
      </c>
      <c r="I125" s="8" t="n">
        <v>1</v>
      </c>
      <c r="J125" s="8"/>
      <c r="K125" s="8"/>
      <c r="L125" s="8"/>
      <c r="M125" s="8"/>
    </row>
    <row r="126" customFormat="false" ht="36" hidden="false" customHeight="true" outlineLevel="0" collapsed="false">
      <c r="A126" s="8" t="s">
        <v>443</v>
      </c>
      <c r="B126" s="8" t="s">
        <v>421</v>
      </c>
      <c r="C126" s="8" t="s">
        <v>44</v>
      </c>
      <c r="D126" s="8" t="s">
        <v>444</v>
      </c>
      <c r="E126" s="8" t="s">
        <v>445</v>
      </c>
      <c r="F126" s="8" t="s">
        <v>446</v>
      </c>
      <c r="G126" s="8"/>
      <c r="H126" s="8" t="s">
        <v>48</v>
      </c>
      <c r="I126" s="8" t="n">
        <v>1</v>
      </c>
      <c r="J126" s="8"/>
      <c r="K126" s="8"/>
      <c r="L126" s="8"/>
      <c r="M126" s="8"/>
    </row>
    <row r="127" customFormat="false" ht="36" hidden="false" customHeight="true" outlineLevel="0" collapsed="false">
      <c r="A127" s="8" t="s">
        <v>447</v>
      </c>
      <c r="B127" s="8" t="s">
        <v>421</v>
      </c>
      <c r="C127" s="8" t="s">
        <v>44</v>
      </c>
      <c r="D127" s="8" t="s">
        <v>448</v>
      </c>
      <c r="E127" s="8" t="s">
        <v>449</v>
      </c>
      <c r="F127" s="8" t="s">
        <v>443</v>
      </c>
      <c r="G127" s="8"/>
      <c r="H127" s="8" t="s">
        <v>48</v>
      </c>
      <c r="I127" s="8" t="n">
        <v>1</v>
      </c>
      <c r="J127" s="8"/>
      <c r="K127" s="8"/>
      <c r="L127" s="8"/>
      <c r="M127" s="8"/>
    </row>
    <row r="128" customFormat="false" ht="36" hidden="false" customHeight="true" outlineLevel="0" collapsed="false">
      <c r="A128" s="8" t="s">
        <v>450</v>
      </c>
      <c r="B128" s="8" t="s">
        <v>421</v>
      </c>
      <c r="C128" s="8" t="s">
        <v>67</v>
      </c>
      <c r="D128" s="8" t="s">
        <v>451</v>
      </c>
      <c r="E128" s="8" t="s">
        <v>452</v>
      </c>
      <c r="F128" s="8" t="s">
        <v>447</v>
      </c>
      <c r="G128" s="8"/>
      <c r="H128" s="8" t="s">
        <v>48</v>
      </c>
      <c r="I128" s="8" t="n">
        <v>1</v>
      </c>
      <c r="J128" s="8"/>
      <c r="K128" s="8"/>
      <c r="L128" s="8"/>
      <c r="M128" s="8"/>
    </row>
    <row r="129" customFormat="false" ht="36" hidden="false" customHeight="true" outlineLevel="0" collapsed="false">
      <c r="A129" s="8" t="s">
        <v>453</v>
      </c>
      <c r="B129" s="8" t="s">
        <v>421</v>
      </c>
      <c r="C129" s="8" t="s">
        <v>67</v>
      </c>
      <c r="D129" s="8" t="s">
        <v>454</v>
      </c>
      <c r="E129" s="8" t="s">
        <v>455</v>
      </c>
      <c r="F129" s="8" t="s">
        <v>447</v>
      </c>
      <c r="G129" s="8"/>
      <c r="H129" s="8" t="s">
        <v>48</v>
      </c>
      <c r="I129" s="8" t="n">
        <v>1</v>
      </c>
      <c r="J129" s="8"/>
      <c r="K129" s="8"/>
      <c r="L129" s="8"/>
      <c r="M129" s="8"/>
    </row>
    <row r="130" customFormat="false" ht="36" hidden="false" customHeight="true" outlineLevel="0" collapsed="false">
      <c r="A130" s="8" t="s">
        <v>456</v>
      </c>
      <c r="B130" s="8" t="s">
        <v>421</v>
      </c>
      <c r="C130" s="8" t="s">
        <v>44</v>
      </c>
      <c r="D130" s="8" t="s">
        <v>457</v>
      </c>
      <c r="E130" s="8" t="s">
        <v>458</v>
      </c>
      <c r="F130" s="8" t="s">
        <v>447</v>
      </c>
      <c r="G130" s="8"/>
      <c r="H130" s="8" t="s">
        <v>48</v>
      </c>
      <c r="I130" s="8" t="n">
        <v>1</v>
      </c>
      <c r="J130" s="8"/>
      <c r="K130" s="8"/>
      <c r="L130" s="8"/>
      <c r="M130" s="8"/>
    </row>
    <row r="131" customFormat="false" ht="36" hidden="false" customHeight="true" outlineLevel="0" collapsed="false">
      <c r="A131" s="8" t="s">
        <v>459</v>
      </c>
      <c r="B131" s="8" t="s">
        <v>421</v>
      </c>
      <c r="C131" s="8" t="s">
        <v>67</v>
      </c>
      <c r="D131" s="8" t="s">
        <v>460</v>
      </c>
      <c r="E131" s="8" t="s">
        <v>461</v>
      </c>
      <c r="F131" s="8" t="s">
        <v>447</v>
      </c>
      <c r="G131" s="8"/>
      <c r="H131" s="8" t="s">
        <v>48</v>
      </c>
      <c r="I131" s="8" t="n">
        <v>1</v>
      </c>
      <c r="J131" s="8"/>
      <c r="K131" s="8"/>
      <c r="L131" s="8"/>
      <c r="M131" s="8"/>
    </row>
    <row r="132" customFormat="false" ht="36" hidden="false" customHeight="true" outlineLevel="0" collapsed="false">
      <c r="A132" s="8" t="s">
        <v>462</v>
      </c>
      <c r="B132" s="8" t="s">
        <v>421</v>
      </c>
      <c r="C132" s="8" t="s">
        <v>44</v>
      </c>
      <c r="D132" s="8" t="s">
        <v>463</v>
      </c>
      <c r="E132" s="8" t="s">
        <v>464</v>
      </c>
      <c r="F132" s="8" t="s">
        <v>459</v>
      </c>
      <c r="G132" s="8"/>
      <c r="H132" s="8" t="s">
        <v>48</v>
      </c>
      <c r="I132" s="8" t="n">
        <v>1</v>
      </c>
      <c r="J132" s="8"/>
      <c r="K132" s="8"/>
      <c r="L132" s="8"/>
      <c r="M132" s="8"/>
    </row>
    <row r="133" customFormat="false" ht="36" hidden="false" customHeight="true" outlineLevel="0" collapsed="false">
      <c r="A133" s="8" t="s">
        <v>465</v>
      </c>
      <c r="B133" s="8" t="s">
        <v>421</v>
      </c>
      <c r="C133" s="8" t="s">
        <v>67</v>
      </c>
      <c r="D133" s="8" t="s">
        <v>466</v>
      </c>
      <c r="E133" s="8" t="s">
        <v>467</v>
      </c>
      <c r="F133" s="8" t="s">
        <v>468</v>
      </c>
      <c r="G133" s="8"/>
      <c r="H133" s="8" t="s">
        <v>48</v>
      </c>
      <c r="I133" s="8" t="n">
        <v>1</v>
      </c>
      <c r="J133" s="8"/>
      <c r="K133" s="8"/>
      <c r="L133" s="8"/>
      <c r="M133" s="8"/>
    </row>
    <row r="134" customFormat="false" ht="36" hidden="false" customHeight="true" outlineLevel="0" collapsed="false">
      <c r="A134" s="8" t="s">
        <v>469</v>
      </c>
      <c r="B134" s="8" t="s">
        <v>421</v>
      </c>
      <c r="C134" s="8" t="s">
        <v>54</v>
      </c>
      <c r="D134" s="8" t="s">
        <v>470</v>
      </c>
      <c r="E134" s="8" t="s">
        <v>471</v>
      </c>
      <c r="F134" s="8" t="s">
        <v>459</v>
      </c>
      <c r="G134" s="8"/>
      <c r="H134" s="8" t="s">
        <v>48</v>
      </c>
      <c r="I134" s="8" t="n">
        <v>1</v>
      </c>
      <c r="J134" s="8"/>
      <c r="K134" s="8"/>
      <c r="L134" s="8"/>
      <c r="M134" s="8"/>
    </row>
    <row r="135" customFormat="false" ht="36" hidden="false" customHeight="true" outlineLevel="0" collapsed="false">
      <c r="A135" s="8" t="s">
        <v>472</v>
      </c>
      <c r="B135" s="8" t="s">
        <v>421</v>
      </c>
      <c r="C135" s="8" t="s">
        <v>44</v>
      </c>
      <c r="D135" s="8" t="s">
        <v>473</v>
      </c>
      <c r="E135" s="8" t="s">
        <v>474</v>
      </c>
      <c r="F135" s="8" t="s">
        <v>447</v>
      </c>
      <c r="G135" s="8"/>
      <c r="H135" s="8" t="s">
        <v>48</v>
      </c>
      <c r="I135" s="8" t="n">
        <v>1</v>
      </c>
      <c r="J135" s="8"/>
      <c r="K135" s="8"/>
      <c r="L135" s="8"/>
      <c r="M135" s="8"/>
    </row>
    <row r="136" customFormat="false" ht="36" hidden="false" customHeight="true" outlineLevel="0" collapsed="false">
      <c r="A136" s="8" t="s">
        <v>475</v>
      </c>
      <c r="B136" s="8" t="s">
        <v>421</v>
      </c>
      <c r="C136" s="8" t="s">
        <v>44</v>
      </c>
      <c r="D136" s="8" t="s">
        <v>476</v>
      </c>
      <c r="E136" s="8" t="s">
        <v>477</v>
      </c>
      <c r="F136" s="8" t="s">
        <v>472</v>
      </c>
      <c r="G136" s="8"/>
      <c r="H136" s="8" t="s">
        <v>48</v>
      </c>
      <c r="I136" s="8" t="n">
        <v>1</v>
      </c>
      <c r="J136" s="8"/>
      <c r="K136" s="8"/>
      <c r="L136" s="8"/>
      <c r="M136" s="8"/>
    </row>
    <row r="137" customFormat="false" ht="36" hidden="false" customHeight="true" outlineLevel="0" collapsed="false">
      <c r="A137" s="8" t="s">
        <v>478</v>
      </c>
      <c r="B137" s="8" t="s">
        <v>421</v>
      </c>
      <c r="C137" s="8" t="s">
        <v>44</v>
      </c>
      <c r="D137" s="8" t="s">
        <v>479</v>
      </c>
      <c r="E137" s="8" t="s">
        <v>480</v>
      </c>
      <c r="F137" s="8" t="s">
        <v>472</v>
      </c>
      <c r="G137" s="8"/>
      <c r="H137" s="8" t="s">
        <v>48</v>
      </c>
      <c r="I137" s="8" t="n">
        <v>1</v>
      </c>
      <c r="J137" s="8"/>
      <c r="K137" s="8"/>
      <c r="L137" s="8"/>
      <c r="M137" s="8"/>
    </row>
    <row r="138" customFormat="false" ht="36" hidden="false" customHeight="true" outlineLevel="0" collapsed="false">
      <c r="A138" s="8" t="s">
        <v>481</v>
      </c>
      <c r="B138" s="8" t="s">
        <v>421</v>
      </c>
      <c r="C138" s="8" t="s">
        <v>67</v>
      </c>
      <c r="D138" s="8" t="s">
        <v>482</v>
      </c>
      <c r="E138" s="8" t="s">
        <v>483</v>
      </c>
      <c r="F138" s="8" t="s">
        <v>459</v>
      </c>
      <c r="G138" s="8"/>
      <c r="H138" s="8" t="s">
        <v>48</v>
      </c>
      <c r="I138" s="8" t="n">
        <v>1</v>
      </c>
      <c r="J138" s="8"/>
      <c r="K138" s="8"/>
      <c r="L138" s="8"/>
      <c r="M138" s="8"/>
    </row>
    <row r="139" customFormat="false" ht="36" hidden="false" customHeight="true" outlineLevel="0" collapsed="false">
      <c r="A139" s="8" t="s">
        <v>484</v>
      </c>
      <c r="B139" s="8" t="s">
        <v>421</v>
      </c>
      <c r="C139" s="8" t="s">
        <v>44</v>
      </c>
      <c r="D139" s="8" t="s">
        <v>485</v>
      </c>
      <c r="E139" s="8" t="s">
        <v>486</v>
      </c>
      <c r="F139" s="8" t="s">
        <v>478</v>
      </c>
      <c r="G139" s="8"/>
      <c r="H139" s="8" t="s">
        <v>48</v>
      </c>
      <c r="I139" s="8" t="n">
        <v>1</v>
      </c>
      <c r="J139" s="8"/>
      <c r="K139" s="8"/>
      <c r="L139" s="8"/>
      <c r="M139" s="8"/>
    </row>
    <row r="140" customFormat="false" ht="36" hidden="false" customHeight="true" outlineLevel="0" collapsed="false">
      <c r="A140" s="8" t="s">
        <v>487</v>
      </c>
      <c r="B140" s="8" t="s">
        <v>421</v>
      </c>
      <c r="C140" s="8" t="s">
        <v>44</v>
      </c>
      <c r="D140" s="8" t="s">
        <v>488</v>
      </c>
      <c r="E140" s="8" t="s">
        <v>489</v>
      </c>
      <c r="F140" s="8" t="s">
        <v>490</v>
      </c>
      <c r="G140" s="8"/>
      <c r="H140" s="8" t="s">
        <v>48</v>
      </c>
      <c r="I140" s="8" t="n">
        <v>1</v>
      </c>
      <c r="J140" s="8"/>
      <c r="K140" s="8"/>
      <c r="L140" s="8"/>
      <c r="M140" s="8"/>
    </row>
    <row r="141" customFormat="false" ht="36" hidden="false" customHeight="true" outlineLevel="0" collapsed="false">
      <c r="A141" s="8" t="s">
        <v>491</v>
      </c>
      <c r="B141" s="8" t="s">
        <v>421</v>
      </c>
      <c r="C141" s="8" t="s">
        <v>54</v>
      </c>
      <c r="D141" s="8" t="s">
        <v>492</v>
      </c>
      <c r="E141" s="8" t="s">
        <v>493</v>
      </c>
      <c r="F141" s="8" t="s">
        <v>487</v>
      </c>
      <c r="G141" s="8"/>
      <c r="H141" s="8" t="s">
        <v>48</v>
      </c>
      <c r="I141" s="8" t="n">
        <v>1</v>
      </c>
      <c r="J141" s="8"/>
      <c r="K141" s="8"/>
      <c r="L141" s="8"/>
      <c r="M141" s="8"/>
    </row>
    <row r="142" customFormat="false" ht="36" hidden="false" customHeight="true" outlineLevel="0" collapsed="false">
      <c r="A142" s="8" t="s">
        <v>494</v>
      </c>
      <c r="B142" s="8" t="s">
        <v>421</v>
      </c>
      <c r="C142" s="8" t="s">
        <v>44</v>
      </c>
      <c r="D142" s="8" t="s">
        <v>495</v>
      </c>
      <c r="E142" s="8" t="s">
        <v>496</v>
      </c>
      <c r="F142" s="8" t="s">
        <v>487</v>
      </c>
      <c r="G142" s="8"/>
      <c r="H142" s="8" t="s">
        <v>48</v>
      </c>
      <c r="I142" s="8" t="n">
        <v>1</v>
      </c>
      <c r="J142" s="8"/>
      <c r="K142" s="8"/>
      <c r="L142" s="8"/>
      <c r="M142" s="8"/>
    </row>
    <row r="143" customFormat="false" ht="36" hidden="false" customHeight="true" outlineLevel="0" collapsed="false">
      <c r="A143" s="8" t="s">
        <v>497</v>
      </c>
      <c r="B143" s="8" t="s">
        <v>421</v>
      </c>
      <c r="C143" s="8" t="s">
        <v>44</v>
      </c>
      <c r="D143" s="8" t="s">
        <v>498</v>
      </c>
      <c r="E143" s="8" t="s">
        <v>499</v>
      </c>
      <c r="F143" s="8" t="s">
        <v>500</v>
      </c>
      <c r="G143" s="8"/>
      <c r="H143" s="8" t="s">
        <v>48</v>
      </c>
      <c r="I143" s="8" t="n">
        <v>1</v>
      </c>
      <c r="J143" s="8"/>
      <c r="K143" s="8"/>
      <c r="L143" s="8"/>
      <c r="M143" s="8"/>
    </row>
    <row r="144" customFormat="false" ht="36" hidden="false" customHeight="true" outlineLevel="0" collapsed="false">
      <c r="A144" s="8" t="s">
        <v>501</v>
      </c>
      <c r="B144" s="8" t="s">
        <v>421</v>
      </c>
      <c r="C144" s="8" t="s">
        <v>221</v>
      </c>
      <c r="D144" s="8" t="s">
        <v>502</v>
      </c>
      <c r="E144" s="8" t="s">
        <v>503</v>
      </c>
      <c r="F144" s="8" t="s">
        <v>497</v>
      </c>
      <c r="G144" s="8"/>
      <c r="H144" s="8" t="s">
        <v>48</v>
      </c>
      <c r="I144" s="8" t="n">
        <v>1</v>
      </c>
      <c r="J144" s="8"/>
      <c r="K144" s="8"/>
      <c r="L144" s="8"/>
      <c r="M144" s="8"/>
    </row>
    <row r="145" customFormat="false" ht="36" hidden="false" customHeight="true" outlineLevel="0" collapsed="false">
      <c r="A145" s="8" t="s">
        <v>504</v>
      </c>
      <c r="B145" s="8" t="s">
        <v>505</v>
      </c>
      <c r="C145" s="8" t="s">
        <v>221</v>
      </c>
      <c r="D145" s="8" t="s">
        <v>506</v>
      </c>
      <c r="E145" s="8" t="s">
        <v>507</v>
      </c>
      <c r="F145" s="8" t="s">
        <v>47</v>
      </c>
      <c r="G145" s="8"/>
      <c r="H145" s="8" t="s">
        <v>48</v>
      </c>
      <c r="I145" s="8" t="n">
        <v>1</v>
      </c>
      <c r="J145" s="8"/>
      <c r="K145" s="8"/>
      <c r="L145" s="8"/>
      <c r="M145" s="8"/>
    </row>
    <row r="146" customFormat="false" ht="36" hidden="false" customHeight="true" outlineLevel="0" collapsed="false">
      <c r="A146" s="8" t="s">
        <v>508</v>
      </c>
      <c r="B146" s="8" t="s">
        <v>505</v>
      </c>
      <c r="C146" s="8" t="s">
        <v>221</v>
      </c>
      <c r="D146" s="8" t="s">
        <v>509</v>
      </c>
      <c r="E146" s="8" t="s">
        <v>510</v>
      </c>
      <c r="F146" s="8" t="s">
        <v>504</v>
      </c>
      <c r="G146" s="8"/>
      <c r="H146" s="8" t="s">
        <v>48</v>
      </c>
      <c r="I146" s="8" t="n">
        <v>1</v>
      </c>
      <c r="J146" s="8"/>
      <c r="K146" s="8"/>
      <c r="L146" s="8"/>
      <c r="M146" s="8"/>
    </row>
    <row r="147" customFormat="false" ht="36" hidden="false" customHeight="true" outlineLevel="0" collapsed="false">
      <c r="A147" s="8" t="s">
        <v>511</v>
      </c>
      <c r="B147" s="8" t="s">
        <v>505</v>
      </c>
      <c r="C147" s="8" t="s">
        <v>221</v>
      </c>
      <c r="D147" s="8" t="s">
        <v>512</v>
      </c>
      <c r="E147" s="8" t="s">
        <v>513</v>
      </c>
      <c r="F147" s="8" t="s">
        <v>504</v>
      </c>
      <c r="G147" s="8"/>
      <c r="H147" s="8" t="s">
        <v>48</v>
      </c>
      <c r="I147" s="8" t="n">
        <v>1</v>
      </c>
      <c r="J147" s="8"/>
      <c r="K147" s="8"/>
      <c r="L147" s="8"/>
      <c r="M147" s="8"/>
    </row>
    <row r="148" customFormat="false" ht="36" hidden="false" customHeight="true" outlineLevel="0" collapsed="false">
      <c r="A148" s="8" t="s">
        <v>514</v>
      </c>
      <c r="B148" s="8" t="s">
        <v>505</v>
      </c>
      <c r="C148" s="8" t="s">
        <v>221</v>
      </c>
      <c r="D148" s="8" t="s">
        <v>515</v>
      </c>
      <c r="E148" s="8" t="s">
        <v>516</v>
      </c>
      <c r="F148" s="8" t="s">
        <v>511</v>
      </c>
      <c r="G148" s="8"/>
      <c r="H148" s="8" t="s">
        <v>48</v>
      </c>
      <c r="I148" s="8" t="n">
        <v>1</v>
      </c>
      <c r="J148" s="8"/>
      <c r="K148" s="8"/>
      <c r="L148" s="8"/>
      <c r="M148" s="8"/>
    </row>
    <row r="149" customFormat="false" ht="36" hidden="false" customHeight="true" outlineLevel="0" collapsed="false">
      <c r="A149" s="8" t="s">
        <v>517</v>
      </c>
      <c r="B149" s="8" t="s">
        <v>505</v>
      </c>
      <c r="C149" s="8" t="s">
        <v>221</v>
      </c>
      <c r="D149" s="8" t="s">
        <v>518</v>
      </c>
      <c r="E149" s="8" t="s">
        <v>519</v>
      </c>
      <c r="F149" s="8" t="s">
        <v>511</v>
      </c>
      <c r="G149" s="8"/>
      <c r="H149" s="8" t="s">
        <v>48</v>
      </c>
      <c r="I149" s="8" t="n">
        <v>1</v>
      </c>
      <c r="J149" s="8"/>
      <c r="K149" s="8"/>
      <c r="L149" s="8"/>
      <c r="M149" s="8"/>
    </row>
    <row r="150" customFormat="false" ht="36" hidden="false" customHeight="true" outlineLevel="0" collapsed="false">
      <c r="A150" s="8" t="s">
        <v>520</v>
      </c>
      <c r="B150" s="8" t="s">
        <v>505</v>
      </c>
      <c r="C150" s="8" t="s">
        <v>221</v>
      </c>
      <c r="D150" s="8" t="s">
        <v>521</v>
      </c>
      <c r="E150" s="8" t="s">
        <v>522</v>
      </c>
      <c r="F150" s="8" t="s">
        <v>508</v>
      </c>
      <c r="G150" s="8"/>
      <c r="H150" s="8" t="s">
        <v>48</v>
      </c>
      <c r="I150" s="8" t="n">
        <v>1</v>
      </c>
      <c r="J150" s="8"/>
      <c r="K150" s="8"/>
      <c r="L150" s="8"/>
      <c r="M150" s="8"/>
    </row>
    <row r="151" customFormat="false" ht="36" hidden="false" customHeight="true" outlineLevel="0" collapsed="false">
      <c r="A151" s="8" t="s">
        <v>523</v>
      </c>
      <c r="B151" s="8" t="s">
        <v>505</v>
      </c>
      <c r="C151" s="8" t="s">
        <v>221</v>
      </c>
      <c r="D151" s="8" t="s">
        <v>524</v>
      </c>
      <c r="E151" s="8" t="s">
        <v>525</v>
      </c>
      <c r="F151" s="8" t="s">
        <v>526</v>
      </c>
      <c r="G151" s="8"/>
      <c r="H151" s="8" t="s">
        <v>48</v>
      </c>
      <c r="I151" s="8" t="n">
        <v>1</v>
      </c>
      <c r="J151" s="8"/>
      <c r="K151" s="8"/>
      <c r="L151" s="8"/>
      <c r="M151" s="8"/>
    </row>
    <row r="152" customFormat="false" ht="36" hidden="false" customHeight="true" outlineLevel="0" collapsed="false">
      <c r="A152" s="8" t="s">
        <v>527</v>
      </c>
      <c r="B152" s="8" t="s">
        <v>505</v>
      </c>
      <c r="C152" s="8" t="s">
        <v>221</v>
      </c>
      <c r="D152" s="8" t="s">
        <v>528</v>
      </c>
      <c r="E152" s="8" t="s">
        <v>529</v>
      </c>
      <c r="F152" s="8" t="s">
        <v>523</v>
      </c>
      <c r="G152" s="8"/>
      <c r="H152" s="8" t="s">
        <v>48</v>
      </c>
      <c r="I152" s="8" t="n">
        <v>1</v>
      </c>
      <c r="J152" s="8"/>
      <c r="K152" s="8"/>
      <c r="L152" s="8"/>
      <c r="M152" s="8"/>
    </row>
    <row r="153" customFormat="false" ht="36" hidden="false" customHeight="true" outlineLevel="0" collapsed="false">
      <c r="A153" s="8" t="s">
        <v>530</v>
      </c>
      <c r="B153" s="8" t="s">
        <v>505</v>
      </c>
      <c r="C153" s="8" t="s">
        <v>221</v>
      </c>
      <c r="D153" s="8" t="s">
        <v>531</v>
      </c>
      <c r="E153" s="8" t="s">
        <v>532</v>
      </c>
      <c r="F153" s="8" t="s">
        <v>527</v>
      </c>
      <c r="G153" s="8"/>
      <c r="H153" s="8" t="s">
        <v>48</v>
      </c>
      <c r="I153" s="8" t="n">
        <v>1</v>
      </c>
      <c r="J153" s="8"/>
      <c r="K153" s="8"/>
      <c r="L153" s="8"/>
      <c r="M153" s="8"/>
    </row>
    <row r="154" customFormat="false" ht="36" hidden="false" customHeight="true" outlineLevel="0" collapsed="false">
      <c r="A154" s="8" t="s">
        <v>533</v>
      </c>
      <c r="B154" s="8" t="s">
        <v>505</v>
      </c>
      <c r="C154" s="8" t="s">
        <v>221</v>
      </c>
      <c r="D154" s="8" t="s">
        <v>534</v>
      </c>
      <c r="E154" s="8" t="s">
        <v>535</v>
      </c>
      <c r="F154" s="8" t="s">
        <v>527</v>
      </c>
      <c r="G154" s="8"/>
      <c r="H154" s="8" t="s">
        <v>48</v>
      </c>
      <c r="I154" s="8" t="n">
        <v>1</v>
      </c>
      <c r="J154" s="8"/>
      <c r="K154" s="8"/>
      <c r="L154" s="8"/>
      <c r="M154" s="8"/>
    </row>
    <row r="155" customFormat="false" ht="36" hidden="false" customHeight="true" outlineLevel="0" collapsed="false">
      <c r="A155" s="8" t="s">
        <v>536</v>
      </c>
      <c r="B155" s="8" t="s">
        <v>505</v>
      </c>
      <c r="C155" s="8" t="s">
        <v>221</v>
      </c>
      <c r="D155" s="8" t="s">
        <v>537</v>
      </c>
      <c r="E155" s="8" t="s">
        <v>538</v>
      </c>
      <c r="F155" s="8" t="s">
        <v>520</v>
      </c>
      <c r="G155" s="8"/>
      <c r="H155" s="8" t="s">
        <v>48</v>
      </c>
      <c r="I155" s="8" t="n">
        <v>1</v>
      </c>
      <c r="J155" s="8"/>
      <c r="K155" s="8"/>
      <c r="L155" s="8"/>
      <c r="M155" s="8"/>
    </row>
    <row r="156" customFormat="false" ht="36" hidden="false" customHeight="true" outlineLevel="0" collapsed="false">
      <c r="A156" s="8" t="s">
        <v>539</v>
      </c>
      <c r="B156" s="8" t="s">
        <v>505</v>
      </c>
      <c r="C156" s="8" t="s">
        <v>221</v>
      </c>
      <c r="D156" s="8" t="s">
        <v>540</v>
      </c>
      <c r="E156" s="8" t="s">
        <v>541</v>
      </c>
      <c r="F156" s="8" t="s">
        <v>542</v>
      </c>
      <c r="G156" s="8"/>
      <c r="H156" s="8" t="s">
        <v>48</v>
      </c>
      <c r="I156" s="8" t="n">
        <v>1</v>
      </c>
      <c r="J156" s="8"/>
      <c r="K156" s="8"/>
      <c r="L156" s="8"/>
      <c r="M156" s="8"/>
    </row>
    <row r="157" customFormat="false" ht="36" hidden="false" customHeight="true" outlineLevel="0" collapsed="false">
      <c r="A157" s="8" t="s">
        <v>543</v>
      </c>
      <c r="B157" s="8" t="s">
        <v>43</v>
      </c>
      <c r="C157" s="8" t="s">
        <v>54</v>
      </c>
      <c r="D157" s="8" t="s">
        <v>544</v>
      </c>
      <c r="E157" s="8" t="s">
        <v>545</v>
      </c>
      <c r="F157" s="8" t="s">
        <v>47</v>
      </c>
      <c r="G157" s="8"/>
      <c r="H157" s="8" t="s">
        <v>48</v>
      </c>
      <c r="I157" s="8" t="n">
        <v>1</v>
      </c>
      <c r="J157" s="8"/>
      <c r="K157" s="8"/>
      <c r="L157" s="8"/>
      <c r="M157" s="8" t="s">
        <v>546</v>
      </c>
    </row>
    <row r="158" customFormat="false" ht="36" hidden="false" customHeight="true" outlineLevel="0" collapsed="false">
      <c r="A158" s="8" t="s">
        <v>547</v>
      </c>
      <c r="B158" s="8" t="s">
        <v>43</v>
      </c>
      <c r="C158" s="8" t="s">
        <v>44</v>
      </c>
      <c r="D158" s="8" t="s">
        <v>548</v>
      </c>
      <c r="E158" s="8" t="s">
        <v>549</v>
      </c>
      <c r="F158" s="8" t="s">
        <v>42</v>
      </c>
      <c r="G158" s="8"/>
      <c r="H158" s="8" t="s">
        <v>48</v>
      </c>
      <c r="I158" s="8" t="n">
        <v>1</v>
      </c>
      <c r="J158" s="8"/>
      <c r="K158" s="8"/>
      <c r="L158" s="8"/>
      <c r="M158" s="8" t="s">
        <v>550</v>
      </c>
    </row>
    <row r="159" customFormat="false" ht="36" hidden="false" customHeight="true" outlineLevel="0" collapsed="false">
      <c r="A159" s="8" t="s">
        <v>551</v>
      </c>
      <c r="B159" s="8" t="s">
        <v>505</v>
      </c>
      <c r="C159" s="8" t="s">
        <v>221</v>
      </c>
      <c r="D159" s="8" t="s">
        <v>552</v>
      </c>
      <c r="E159" s="8" t="s">
        <v>553</v>
      </c>
      <c r="F159" s="8" t="s">
        <v>520</v>
      </c>
      <c r="G159" s="8"/>
      <c r="H159" s="8" t="s">
        <v>48</v>
      </c>
      <c r="I159" s="8" t="n">
        <v>1</v>
      </c>
      <c r="J159" s="8"/>
      <c r="K159" s="8"/>
      <c r="L159" s="8"/>
      <c r="M159" s="8" t="s">
        <v>554</v>
      </c>
    </row>
    <row r="160" customFormat="false" ht="36" hidden="false" customHeight="true" outlineLevel="0" collapsed="false">
      <c r="A160" s="8" t="s">
        <v>555</v>
      </c>
      <c r="B160" s="8" t="s">
        <v>505</v>
      </c>
      <c r="C160" s="8" t="s">
        <v>221</v>
      </c>
      <c r="D160" s="8" t="s">
        <v>556</v>
      </c>
      <c r="E160" s="8" t="s">
        <v>557</v>
      </c>
      <c r="F160" s="8" t="s">
        <v>527</v>
      </c>
      <c r="G160" s="8"/>
      <c r="H160" s="8" t="s">
        <v>48</v>
      </c>
      <c r="I160" s="8" t="n">
        <v>1</v>
      </c>
      <c r="J160" s="8"/>
      <c r="K160" s="8"/>
      <c r="L160" s="8"/>
      <c r="M160" s="8" t="s">
        <v>558</v>
      </c>
    </row>
    <row r="161" customFormat="false" ht="36" hidden="false" customHeight="true" outlineLevel="0" collapsed="false">
      <c r="A161" s="8" t="s">
        <v>559</v>
      </c>
      <c r="B161" s="8" t="s">
        <v>505</v>
      </c>
      <c r="C161" s="8" t="s">
        <v>221</v>
      </c>
      <c r="D161" s="8" t="s">
        <v>560</v>
      </c>
      <c r="E161" s="8" t="s">
        <v>561</v>
      </c>
      <c r="F161" s="8" t="s">
        <v>47</v>
      </c>
      <c r="G161" s="8"/>
      <c r="H161" s="8" t="s">
        <v>48</v>
      </c>
      <c r="I161" s="8" t="n">
        <v>1</v>
      </c>
      <c r="J161" s="8"/>
      <c r="K161" s="8"/>
      <c r="L161" s="8"/>
      <c r="M161" s="8" t="s">
        <v>562</v>
      </c>
    </row>
    <row r="162" customFormat="false" ht="36" hidden="false" customHeight="true" outlineLevel="0" collapsed="false">
      <c r="A162" s="8" t="s">
        <v>563</v>
      </c>
      <c r="B162" s="8" t="s">
        <v>505</v>
      </c>
      <c r="C162" s="8" t="s">
        <v>54</v>
      </c>
      <c r="D162" s="8" t="s">
        <v>564</v>
      </c>
      <c r="E162" s="8" t="s">
        <v>565</v>
      </c>
      <c r="F162" s="8" t="s">
        <v>47</v>
      </c>
      <c r="G162" s="8"/>
      <c r="H162" s="8" t="s">
        <v>48</v>
      </c>
      <c r="I162" s="8" t="n">
        <v>1</v>
      </c>
      <c r="J162" s="8"/>
      <c r="K162" s="8"/>
      <c r="L162" s="8"/>
      <c r="M162" s="8" t="s">
        <v>566</v>
      </c>
    </row>
  </sheetData>
  <autoFilter ref="A1:M162"/>
  <conditionalFormatting sqref="H2:H162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5">
      <formula>"in_progress"</formula>
    </cfRule>
    <cfRule type="cellIs" priority="4" operator="equal" aboveAverage="0" equalAverage="0" bottom="0" percent="0" rank="0" text="" dxfId="6">
      <formula>"blocked"</formula>
    </cfRule>
    <cfRule type="cellIs" priority="5" operator="equal" aboveAverage="0" equalAverage="0" bottom="0" percent="0" rank="0" text="" dxfId="7">
      <formula>"todo"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4" min="4" style="1" width="12"/>
    <col collapsed="false" customWidth="true" hidden="false" outlineLevel="0" max="6" min="5" style="1" width="8"/>
    <col collapsed="false" customWidth="true" hidden="false" outlineLevel="0" max="7" min="7" style="1" width="12"/>
    <col collapsed="false" customWidth="true" hidden="false" outlineLevel="0" max="8" min="8" style="1" width="4"/>
    <col collapsed="false" customWidth="true" hidden="false" outlineLevel="0" max="9" min="9" style="1" width="14"/>
    <col collapsed="false" customWidth="true" hidden="false" outlineLevel="0" max="11" min="10" style="1" width="8"/>
    <col collapsed="false" customWidth="true" hidden="false" outlineLevel="0" max="12" min="12" style="1" width="12"/>
  </cols>
  <sheetData>
    <row r="1" customFormat="false" ht="19.5" hidden="false" customHeight="true" outlineLevel="0" collapsed="false">
      <c r="A1" s="9" t="s">
        <v>567</v>
      </c>
    </row>
    <row r="3" customFormat="false" ht="15" hidden="false" customHeight="true" outlineLevel="0" collapsed="false">
      <c r="A3" s="10" t="s">
        <v>568</v>
      </c>
      <c r="D3" s="10" t="s">
        <v>569</v>
      </c>
      <c r="I3" s="10" t="s">
        <v>570</v>
      </c>
    </row>
    <row r="4" customFormat="false" ht="15" hidden="false" customHeight="true" outlineLevel="0" collapsed="false">
      <c r="A4" s="11" t="s">
        <v>571</v>
      </c>
      <c r="B4" s="12" t="n">
        <f aca="false">COUNTA(Sprints!A2:A162)</f>
        <v>161</v>
      </c>
      <c r="D4" s="13" t="s">
        <v>30</v>
      </c>
      <c r="E4" s="13" t="s">
        <v>572</v>
      </c>
      <c r="F4" s="13" t="s">
        <v>573</v>
      </c>
      <c r="G4" s="13" t="s">
        <v>574</v>
      </c>
      <c r="I4" s="13" t="s">
        <v>31</v>
      </c>
      <c r="J4" s="13" t="s">
        <v>572</v>
      </c>
      <c r="K4" s="13" t="s">
        <v>573</v>
      </c>
      <c r="L4" s="13" t="s">
        <v>574</v>
      </c>
    </row>
    <row r="5" customFormat="false" ht="15" hidden="false" customHeight="true" outlineLevel="0" collapsed="false">
      <c r="A5" s="11" t="s">
        <v>573</v>
      </c>
      <c r="B5" s="12" t="n">
        <f aca="false">COUNTIF(Sprints!H2:H162,"done")</f>
        <v>0</v>
      </c>
      <c r="D5" s="11" t="s">
        <v>43</v>
      </c>
      <c r="E5" s="11" t="n">
        <f aca="false">COUNTIF(Sprints!B2:B162,"Sprint 0")</f>
        <v>10</v>
      </c>
      <c r="F5" s="11" t="n">
        <f aca="false">COUNTIFS(Sprints!B2:B162,"Sprint 0",Sprints!H2:H162,"done")</f>
        <v>0</v>
      </c>
      <c r="G5" s="14" t="n">
        <f aca="false">IFERROR(F5/E5,0)</f>
        <v>0</v>
      </c>
      <c r="I5" s="11" t="s">
        <v>67</v>
      </c>
      <c r="J5" s="11" t="n">
        <f aca="false">COUNTIF(Sprints!C2:C162,"ENG")</f>
        <v>62</v>
      </c>
      <c r="K5" s="11" t="n">
        <f aca="false">COUNTIFS(Sprints!C2:C162,"ENG",Sprints!H2:H162,"done")</f>
        <v>0</v>
      </c>
      <c r="L5" s="14" t="n">
        <f aca="false">IFERROR(K5/J5,0)</f>
        <v>0</v>
      </c>
    </row>
    <row r="6" customFormat="false" ht="15" hidden="false" customHeight="true" outlineLevel="0" collapsed="false">
      <c r="A6" s="11" t="s">
        <v>575</v>
      </c>
      <c r="B6" s="12" t="n">
        <f aca="false">COUNTIF(Sprints!H2:H162,"in_progress")</f>
        <v>0</v>
      </c>
      <c r="D6" s="11" t="s">
        <v>75</v>
      </c>
      <c r="E6" s="11" t="n">
        <f aca="false">COUNTIF(Sprints!B2:B162,"Phase 1")</f>
        <v>72</v>
      </c>
      <c r="F6" s="11" t="n">
        <f aca="false">COUNTIFS(Sprints!B2:B162,"Phase 1",Sprints!H2:H162,"done")</f>
        <v>0</v>
      </c>
      <c r="G6" s="14" t="n">
        <f aca="false">IFERROR(F6/E6,0)</f>
        <v>0</v>
      </c>
      <c r="I6" s="11" t="s">
        <v>44</v>
      </c>
      <c r="J6" s="11" t="n">
        <f aca="false">COUNTIF(Sprints!C2:C162,"PROD")</f>
        <v>44</v>
      </c>
      <c r="K6" s="11" t="n">
        <f aca="false">COUNTIFS(Sprints!C2:C162,"PROD",Sprints!H2:H162,"done")</f>
        <v>0</v>
      </c>
      <c r="L6" s="14" t="n">
        <f aca="false">IFERROR(K6/J6,0)</f>
        <v>0</v>
      </c>
    </row>
    <row r="7" customFormat="false" ht="15" hidden="false" customHeight="true" outlineLevel="0" collapsed="false">
      <c r="A7" s="11" t="s">
        <v>576</v>
      </c>
      <c r="B7" s="12" t="n">
        <f aca="false">COUNTIF(Sprints!H2:H162,"blocked")</f>
        <v>0</v>
      </c>
      <c r="D7" s="11" t="s">
        <v>302</v>
      </c>
      <c r="E7" s="11" t="n">
        <f aca="false">COUNTIF(Sprints!B2:B162,"Phase 2")</f>
        <v>37</v>
      </c>
      <c r="F7" s="11" t="n">
        <f aca="false">COUNTIFS(Sprints!B2:B162,"Phase 2",Sprints!H2:H162,"done")</f>
        <v>0</v>
      </c>
      <c r="G7" s="14" t="n">
        <f aca="false">IFERROR(F7/E7,0)</f>
        <v>0</v>
      </c>
      <c r="I7" s="11" t="s">
        <v>54</v>
      </c>
      <c r="J7" s="11" t="n">
        <f aca="false">COUNTIF(Sprints!C2:C162,"TRUST")</f>
        <v>34</v>
      </c>
      <c r="K7" s="11" t="n">
        <f aca="false">COUNTIFS(Sprints!C2:C162,"TRUST",Sprints!H2:H162,"done")</f>
        <v>0</v>
      </c>
      <c r="L7" s="14" t="n">
        <f aca="false">IFERROR(K7/J7,0)</f>
        <v>0</v>
      </c>
    </row>
    <row r="8" customFormat="false" ht="15" hidden="false" customHeight="true" outlineLevel="0" collapsed="false">
      <c r="A8" s="11" t="s">
        <v>577</v>
      </c>
      <c r="B8" s="12" t="n">
        <f aca="false">COUNTIF(Sprints!H2:H162,"todo")</f>
        <v>161</v>
      </c>
      <c r="D8" s="11" t="s">
        <v>421</v>
      </c>
      <c r="E8" s="11" t="n">
        <f aca="false">COUNTIF(Sprints!B2:B162,"Phase 3")</f>
        <v>26</v>
      </c>
      <c r="F8" s="11" t="n">
        <f aca="false">COUNTIFS(Sprints!B2:B162,"Phase 3",Sprints!H2:H162,"done")</f>
        <v>0</v>
      </c>
      <c r="G8" s="14" t="n">
        <f aca="false">IFERROR(F8/E8,0)</f>
        <v>0</v>
      </c>
      <c r="I8" s="11" t="s">
        <v>221</v>
      </c>
      <c r="J8" s="11" t="n">
        <f aca="false">COUNTIF(Sprints!C2:C162,"BIZ")</f>
        <v>21</v>
      </c>
      <c r="K8" s="11" t="n">
        <f aca="false">COUNTIFS(Sprints!C2:C162,"BIZ",Sprints!H2:H162,"done")</f>
        <v>0</v>
      </c>
      <c r="L8" s="14" t="n">
        <f aca="false">IFERROR(K8/J8,0)</f>
        <v>0</v>
      </c>
    </row>
    <row r="9" customFormat="false" ht="15" hidden="false" customHeight="true" outlineLevel="0" collapsed="false">
      <c r="A9" s="11" t="s">
        <v>574</v>
      </c>
      <c r="B9" s="15" t="n">
        <f aca="false">COUNTIF(Sprints!H2:H162,"done")/COUNTA(Sprints!A2:A162)</f>
        <v>0</v>
      </c>
      <c r="D9" s="11" t="s">
        <v>505</v>
      </c>
      <c r="E9" s="11" t="n">
        <f aca="false">COUNTIF(Sprints!B2:B162,"Business")</f>
        <v>16</v>
      </c>
      <c r="F9" s="11" t="n">
        <f aca="false">COUNTIFS(Sprints!B2:B162,"Business",Sprints!H2:H162,"done")</f>
        <v>0</v>
      </c>
      <c r="G9" s="14" t="n">
        <f aca="false">IFERROR(F9/E9,0)</f>
        <v>0</v>
      </c>
    </row>
    <row r="10" customFormat="false" ht="15" hidden="false" customHeight="true" outlineLevel="0" collapsed="false">
      <c r="A10" s="11" t="s">
        <v>578</v>
      </c>
      <c r="B10" s="12" t="n">
        <f aca="false">SUMIFS(Sprints!I2:I162,Sprints!H2:H162,"todo")+SUMIFS(Sprints!I2:I162,Sprints!H2:H162,"in_progress")</f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70"/>
    <col collapsed="false" customWidth="true" hidden="false" outlineLevel="0" max="6" min="6" style="1" width="22"/>
    <col collapsed="false" customWidth="true" hidden="false" outlineLevel="0" max="7" min="7" style="1" width="12"/>
  </cols>
  <sheetData>
    <row r="1" customFormat="false" ht="26.25" hidden="false" customHeight="true" outlineLevel="0" collapsed="false">
      <c r="A1" s="7" t="s">
        <v>579</v>
      </c>
      <c r="B1" s="7" t="s">
        <v>580</v>
      </c>
      <c r="C1" s="7" t="s">
        <v>581</v>
      </c>
      <c r="D1" s="7" t="s">
        <v>582</v>
      </c>
      <c r="E1" s="7" t="s">
        <v>583</v>
      </c>
      <c r="F1" s="7" t="s">
        <v>584</v>
      </c>
      <c r="G1" s="7" t="s">
        <v>36</v>
      </c>
    </row>
    <row r="2" customFormat="false" ht="49.5" hidden="false" customHeight="true" outlineLevel="0" collapsed="false">
      <c r="A2" s="8" t="n">
        <v>1</v>
      </c>
      <c r="B2" s="8" t="s">
        <v>585</v>
      </c>
      <c r="C2" s="8" t="s">
        <v>586</v>
      </c>
      <c r="D2" s="8" t="s">
        <v>587</v>
      </c>
      <c r="E2" s="8" t="s">
        <v>588</v>
      </c>
      <c r="F2" s="8" t="s">
        <v>589</v>
      </c>
      <c r="G2" s="8" t="s">
        <v>48</v>
      </c>
    </row>
    <row r="3" customFormat="false" ht="49.5" hidden="false" customHeight="true" outlineLevel="0" collapsed="false">
      <c r="A3" s="8" t="n">
        <v>2</v>
      </c>
      <c r="B3" s="8" t="s">
        <v>585</v>
      </c>
      <c r="C3" s="8" t="s">
        <v>586</v>
      </c>
      <c r="D3" s="8" t="s">
        <v>587</v>
      </c>
      <c r="E3" s="8" t="s">
        <v>590</v>
      </c>
      <c r="F3" s="8" t="s">
        <v>42</v>
      </c>
      <c r="G3" s="8" t="s">
        <v>48</v>
      </c>
    </row>
    <row r="4" customFormat="false" ht="49.5" hidden="false" customHeight="true" outlineLevel="0" collapsed="false">
      <c r="A4" s="8" t="n">
        <v>3</v>
      </c>
      <c r="B4" s="8" t="s">
        <v>585</v>
      </c>
      <c r="C4" s="8" t="s">
        <v>586</v>
      </c>
      <c r="D4" s="8" t="s">
        <v>587</v>
      </c>
      <c r="E4" s="8" t="s">
        <v>591</v>
      </c>
      <c r="F4" s="8" t="s">
        <v>50</v>
      </c>
      <c r="G4" s="8" t="s">
        <v>48</v>
      </c>
    </row>
    <row r="5" customFormat="false" ht="49.5" hidden="false" customHeight="true" outlineLevel="0" collapsed="false">
      <c r="A5" s="8" t="n">
        <v>4</v>
      </c>
      <c r="B5" s="8" t="s">
        <v>585</v>
      </c>
      <c r="C5" s="8" t="s">
        <v>586</v>
      </c>
      <c r="D5" s="8" t="s">
        <v>592</v>
      </c>
      <c r="E5" s="8" t="s">
        <v>593</v>
      </c>
      <c r="F5" s="8" t="s">
        <v>53</v>
      </c>
      <c r="G5" s="8" t="s">
        <v>48</v>
      </c>
    </row>
    <row r="6" customFormat="false" ht="49.5" hidden="false" customHeight="true" outlineLevel="0" collapsed="false">
      <c r="A6" s="8" t="n">
        <v>5</v>
      </c>
      <c r="B6" s="8" t="s">
        <v>585</v>
      </c>
      <c r="C6" s="8" t="s">
        <v>586</v>
      </c>
      <c r="D6" s="8" t="s">
        <v>592</v>
      </c>
      <c r="E6" s="8" t="s">
        <v>594</v>
      </c>
      <c r="F6" s="8" t="s">
        <v>57</v>
      </c>
      <c r="G6" s="8" t="s">
        <v>48</v>
      </c>
    </row>
    <row r="7" customFormat="false" ht="49.5" hidden="false" customHeight="true" outlineLevel="0" collapsed="false">
      <c r="A7" s="8" t="n">
        <v>6</v>
      </c>
      <c r="B7" s="8" t="s">
        <v>585</v>
      </c>
      <c r="C7" s="8" t="s">
        <v>586</v>
      </c>
      <c r="D7" s="8" t="s">
        <v>595</v>
      </c>
      <c r="E7" s="8" t="s">
        <v>596</v>
      </c>
      <c r="F7" s="8" t="s">
        <v>60</v>
      </c>
      <c r="G7" s="8" t="s">
        <v>48</v>
      </c>
    </row>
    <row r="8" customFormat="false" ht="49.5" hidden="false" customHeight="true" outlineLevel="0" collapsed="false">
      <c r="A8" s="8" t="n">
        <v>7</v>
      </c>
      <c r="B8" s="8" t="s">
        <v>585</v>
      </c>
      <c r="C8" s="8" t="s">
        <v>586</v>
      </c>
      <c r="D8" s="8" t="s">
        <v>595</v>
      </c>
      <c r="E8" s="8" t="s">
        <v>597</v>
      </c>
      <c r="F8" s="8" t="s">
        <v>63</v>
      </c>
      <c r="G8" s="8" t="s">
        <v>48</v>
      </c>
    </row>
    <row r="9" customFormat="false" ht="49.5" hidden="false" customHeight="true" outlineLevel="0" collapsed="false">
      <c r="A9" s="8" t="n">
        <v>8</v>
      </c>
      <c r="B9" s="8" t="s">
        <v>585</v>
      </c>
      <c r="C9" s="8" t="s">
        <v>586</v>
      </c>
      <c r="D9" s="8" t="s">
        <v>598</v>
      </c>
      <c r="E9" s="8" t="s">
        <v>599</v>
      </c>
      <c r="F9" s="8" t="s">
        <v>66</v>
      </c>
      <c r="G9" s="8" t="s">
        <v>48</v>
      </c>
    </row>
    <row r="10" customFormat="false" ht="49.5" hidden="false" customHeight="true" outlineLevel="0" collapsed="false">
      <c r="A10" s="8" t="n">
        <v>9</v>
      </c>
      <c r="B10" s="8" t="s">
        <v>585</v>
      </c>
      <c r="C10" s="8" t="s">
        <v>586</v>
      </c>
      <c r="D10" s="8" t="s">
        <v>600</v>
      </c>
      <c r="E10" s="8" t="s">
        <v>601</v>
      </c>
      <c r="F10" s="8" t="s">
        <v>70</v>
      </c>
      <c r="G10" s="8" t="s">
        <v>48</v>
      </c>
    </row>
    <row r="11" customFormat="false" ht="49.5" hidden="false" customHeight="true" outlineLevel="0" collapsed="false">
      <c r="A11" s="8" t="n">
        <v>10</v>
      </c>
      <c r="B11" s="8" t="s">
        <v>602</v>
      </c>
      <c r="C11" s="8" t="s">
        <v>586</v>
      </c>
      <c r="D11" s="8" t="s">
        <v>603</v>
      </c>
      <c r="E11" s="8" t="s">
        <v>604</v>
      </c>
      <c r="F11" s="8" t="s">
        <v>605</v>
      </c>
      <c r="G11" s="8" t="s">
        <v>48</v>
      </c>
    </row>
    <row r="12" customFormat="false" ht="49.5" hidden="false" customHeight="true" outlineLevel="0" collapsed="false">
      <c r="A12" s="8" t="n">
        <v>11</v>
      </c>
      <c r="B12" s="8" t="s">
        <v>602</v>
      </c>
      <c r="C12" s="8" t="s">
        <v>586</v>
      </c>
      <c r="D12" s="8" t="s">
        <v>606</v>
      </c>
      <c r="E12" s="8" t="s">
        <v>607</v>
      </c>
      <c r="F12" s="8" t="s">
        <v>543</v>
      </c>
      <c r="G12" s="8" t="s">
        <v>48</v>
      </c>
    </row>
    <row r="13" customFormat="false" ht="49.5" hidden="false" customHeight="true" outlineLevel="0" collapsed="false">
      <c r="A13" s="8" t="n">
        <v>12</v>
      </c>
      <c r="B13" s="8" t="s">
        <v>602</v>
      </c>
      <c r="C13" s="8" t="s">
        <v>586</v>
      </c>
      <c r="D13" s="8" t="s">
        <v>608</v>
      </c>
      <c r="E13" s="8" t="s">
        <v>609</v>
      </c>
      <c r="F13" s="8" t="s">
        <v>555</v>
      </c>
      <c r="G13" s="8" t="s">
        <v>48</v>
      </c>
    </row>
    <row r="14" customFormat="false" ht="49.5" hidden="false" customHeight="true" outlineLevel="0" collapsed="false">
      <c r="A14" s="8" t="n">
        <v>13</v>
      </c>
      <c r="B14" s="8" t="s">
        <v>602</v>
      </c>
      <c r="C14" s="8" t="s">
        <v>586</v>
      </c>
      <c r="D14" s="8" t="s">
        <v>610</v>
      </c>
      <c r="E14" s="8" t="s">
        <v>611</v>
      </c>
      <c r="F14" s="8" t="s">
        <v>559</v>
      </c>
      <c r="G14" s="8" t="s">
        <v>48</v>
      </c>
    </row>
    <row r="15" customFormat="false" ht="49.5" hidden="false" customHeight="true" outlineLevel="0" collapsed="false">
      <c r="A15" s="8" t="n">
        <v>14</v>
      </c>
      <c r="B15" s="8" t="s">
        <v>602</v>
      </c>
      <c r="C15" s="8" t="s">
        <v>586</v>
      </c>
      <c r="D15" s="8" t="s">
        <v>612</v>
      </c>
      <c r="E15" s="8" t="s">
        <v>613</v>
      </c>
      <c r="F15" s="8" t="s">
        <v>563</v>
      </c>
      <c r="G15" s="8" t="s">
        <v>48</v>
      </c>
    </row>
    <row r="16" customFormat="false" ht="49.5" hidden="false" customHeight="true" outlineLevel="0" collapsed="false">
      <c r="A16" s="8" t="n">
        <v>15</v>
      </c>
      <c r="B16" s="8" t="s">
        <v>602</v>
      </c>
      <c r="C16" s="8" t="s">
        <v>586</v>
      </c>
      <c r="D16" s="8" t="s">
        <v>614</v>
      </c>
      <c r="E16" s="8" t="s">
        <v>615</v>
      </c>
      <c r="F16" s="8" t="s">
        <v>551</v>
      </c>
      <c r="G16" s="8" t="s">
        <v>48</v>
      </c>
    </row>
  </sheetData>
  <conditionalFormatting sqref="G2:G16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7">
      <formula>"todo"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6" t="s">
        <v>616</v>
      </c>
    </row>
    <row r="3" customFormat="false" ht="15" hidden="false" customHeight="false" outlineLevel="0" collapsed="false">
      <c r="A3" s="17" t="s">
        <v>617</v>
      </c>
    </row>
    <row r="5" customFormat="false" ht="15" hidden="false" customHeight="false" outlineLevel="0" collapsed="false">
      <c r="A5" s="7" t="s">
        <v>618</v>
      </c>
      <c r="B5" s="7" t="s">
        <v>619</v>
      </c>
      <c r="C5" s="7" t="s">
        <v>620</v>
      </c>
      <c r="D5" s="7" t="s">
        <v>36</v>
      </c>
    </row>
    <row r="6" customFormat="false" ht="25.5" hidden="false" customHeight="true" outlineLevel="0" collapsed="false">
      <c r="A6" s="8" t="s">
        <v>621</v>
      </c>
      <c r="B6" s="8" t="s">
        <v>605</v>
      </c>
      <c r="C6" s="8" t="s">
        <v>622</v>
      </c>
      <c r="D6" s="8" t="s">
        <v>48</v>
      </c>
    </row>
    <row r="7" customFormat="false" ht="25.5" hidden="false" customHeight="true" outlineLevel="0" collapsed="false">
      <c r="A7" s="8" t="s">
        <v>623</v>
      </c>
      <c r="B7" s="8" t="s">
        <v>543</v>
      </c>
      <c r="C7" s="8" t="s">
        <v>622</v>
      </c>
      <c r="D7" s="8" t="s">
        <v>48</v>
      </c>
    </row>
    <row r="8" customFormat="false" ht="25.5" hidden="false" customHeight="true" outlineLevel="0" collapsed="false">
      <c r="A8" s="8" t="s">
        <v>624</v>
      </c>
      <c r="B8" s="8" t="s">
        <v>551</v>
      </c>
      <c r="C8" s="8" t="s">
        <v>625</v>
      </c>
      <c r="D8" s="8" t="s">
        <v>48</v>
      </c>
    </row>
    <row r="9" customFormat="false" ht="25.5" hidden="false" customHeight="true" outlineLevel="0" collapsed="false">
      <c r="A9" s="8" t="s">
        <v>626</v>
      </c>
      <c r="B9" s="8" t="s">
        <v>555</v>
      </c>
      <c r="C9" s="8" t="s">
        <v>625</v>
      </c>
      <c r="D9" s="8" t="s">
        <v>48</v>
      </c>
    </row>
    <row r="10" customFormat="false" ht="25.5" hidden="false" customHeight="true" outlineLevel="0" collapsed="false">
      <c r="A10" s="8" t="s">
        <v>627</v>
      </c>
      <c r="B10" s="8" t="s">
        <v>559</v>
      </c>
      <c r="C10" s="8" t="s">
        <v>628</v>
      </c>
      <c r="D10" s="8" t="s">
        <v>48</v>
      </c>
    </row>
    <row r="11" customFormat="false" ht="25.5" hidden="false" customHeight="true" outlineLevel="0" collapsed="false">
      <c r="A11" s="8" t="s">
        <v>629</v>
      </c>
      <c r="B11" s="8" t="s">
        <v>563</v>
      </c>
      <c r="C11" s="8" t="s">
        <v>628</v>
      </c>
      <c r="D11" s="8" t="s">
        <v>48</v>
      </c>
    </row>
  </sheetData>
  <conditionalFormatting sqref="D4:D11">
    <cfRule type="cellIs" priority="2" operator="equal" aboveAverage="0" equalAverage="0" bottom="0" percent="0" rank="0" text="" dxfId="4">
      <formula>"done"</formula>
    </cfRule>
    <cfRule type="cellIs" priority="3" operator="equal" aboveAverage="0" equalAverage="0" bottom="0" percent="0" rank="0" text="" dxfId="7">
      <formula>"todo"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5" min="4" style="1" width="18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2"/>
  </cols>
  <sheetData>
    <row r="1" customFormat="false" ht="17.25" hidden="false" customHeight="true" outlineLevel="0" collapsed="false">
      <c r="A1" s="18" t="s">
        <v>630</v>
      </c>
    </row>
    <row r="3" customFormat="false" ht="15" hidden="false" customHeight="true" outlineLevel="0" collapsed="false">
      <c r="A3" s="19" t="s">
        <v>631</v>
      </c>
    </row>
    <row r="5" customFormat="false" ht="26.25" hidden="false" customHeight="true" outlineLevel="0" collapsed="false">
      <c r="A5" s="7" t="s">
        <v>632</v>
      </c>
      <c r="B5" s="7" t="s">
        <v>633</v>
      </c>
      <c r="C5" s="7" t="s">
        <v>634</v>
      </c>
      <c r="D5" s="7" t="s">
        <v>635</v>
      </c>
      <c r="E5" s="7" t="s">
        <v>636</v>
      </c>
      <c r="F5" s="7" t="s">
        <v>637</v>
      </c>
      <c r="G5" s="7" t="s">
        <v>638</v>
      </c>
      <c r="H5" s="7" t="s">
        <v>639</v>
      </c>
      <c r="I5" s="7" t="s">
        <v>640</v>
      </c>
    </row>
    <row r="6" customFormat="false" ht="15" hidden="false" customHeight="true" outlineLevel="0" collapsed="false">
      <c r="A6" s="20" t="s">
        <v>641</v>
      </c>
      <c r="B6" s="21" t="n">
        <v>60000</v>
      </c>
      <c r="C6" s="21" t="n">
        <v>12000</v>
      </c>
      <c r="D6" s="21" t="n">
        <v>8000</v>
      </c>
      <c r="E6" s="21" t="n">
        <v>25000</v>
      </c>
      <c r="F6" s="21" t="n">
        <v>5000</v>
      </c>
      <c r="G6" s="22" t="n">
        <f aca="false">SUM(B6:F6)</f>
        <v>110000</v>
      </c>
      <c r="H6" s="22" t="n">
        <f aca="false">G6</f>
        <v>110000</v>
      </c>
      <c r="I6" s="22" t="n">
        <f aca="false">1000000-H6</f>
        <v>890000</v>
      </c>
    </row>
    <row r="7" customFormat="false" ht="15" hidden="false" customHeight="true" outlineLevel="0" collapsed="false">
      <c r="A7" s="20" t="s">
        <v>642</v>
      </c>
      <c r="B7" s="21" t="n">
        <v>75000</v>
      </c>
      <c r="C7" s="21" t="n">
        <v>15000</v>
      </c>
      <c r="D7" s="21" t="n">
        <v>5000</v>
      </c>
      <c r="E7" s="21" t="n">
        <v>40000</v>
      </c>
      <c r="F7" s="21" t="n">
        <v>5000</v>
      </c>
      <c r="G7" s="22" t="n">
        <f aca="false">SUM(B7:F7)</f>
        <v>140000</v>
      </c>
      <c r="H7" s="22" t="n">
        <f aca="false">H6+G7</f>
        <v>250000</v>
      </c>
      <c r="I7" s="22" t="n">
        <f aca="false">1000000-H7</f>
        <v>750000</v>
      </c>
    </row>
    <row r="8" customFormat="false" ht="15" hidden="false" customHeight="true" outlineLevel="0" collapsed="false">
      <c r="A8" s="20" t="s">
        <v>643</v>
      </c>
      <c r="B8" s="21" t="n">
        <v>90000</v>
      </c>
      <c r="C8" s="21" t="n">
        <v>20000</v>
      </c>
      <c r="D8" s="21" t="n">
        <v>4000</v>
      </c>
      <c r="E8" s="21" t="n">
        <v>60000</v>
      </c>
      <c r="F8" s="21" t="n">
        <v>5000</v>
      </c>
      <c r="G8" s="22" t="n">
        <f aca="false">SUM(B8:F8)</f>
        <v>179000</v>
      </c>
      <c r="H8" s="22" t="n">
        <f aca="false">H7+G8</f>
        <v>429000</v>
      </c>
      <c r="I8" s="22" t="n">
        <f aca="false">1000000-H8</f>
        <v>571000</v>
      </c>
    </row>
    <row r="9" customFormat="false" ht="15" hidden="false" customHeight="true" outlineLevel="0" collapsed="false">
      <c r="A9" s="20" t="s">
        <v>644</v>
      </c>
      <c r="B9" s="21" t="n">
        <v>90000</v>
      </c>
      <c r="C9" s="21" t="n">
        <v>25000</v>
      </c>
      <c r="D9" s="21" t="n">
        <v>4000</v>
      </c>
      <c r="E9" s="21" t="n">
        <v>60000</v>
      </c>
      <c r="F9" s="21" t="n">
        <v>5000</v>
      </c>
      <c r="G9" s="22" t="n">
        <f aca="false">SUM(B9:F9)</f>
        <v>184000</v>
      </c>
      <c r="H9" s="22" t="n">
        <f aca="false">H8+G9</f>
        <v>613000</v>
      </c>
      <c r="I9" s="22" t="n">
        <f aca="false">1000000-H9</f>
        <v>387000</v>
      </c>
    </row>
    <row r="10" customFormat="false" ht="15" hidden="false" customHeight="true" outlineLevel="0" collapsed="false">
      <c r="A10" s="20" t="s">
        <v>645</v>
      </c>
      <c r="B10" s="21" t="n">
        <v>95000</v>
      </c>
      <c r="C10" s="21" t="n">
        <v>30000</v>
      </c>
      <c r="D10" s="21" t="n">
        <v>4000</v>
      </c>
      <c r="E10" s="21" t="n">
        <v>70000</v>
      </c>
      <c r="F10" s="21" t="n">
        <v>5000</v>
      </c>
      <c r="G10" s="22" t="n">
        <f aca="false">SUM(B10:F10)</f>
        <v>204000</v>
      </c>
      <c r="H10" s="22" t="n">
        <f aca="false">H9+G10</f>
        <v>817000</v>
      </c>
      <c r="I10" s="22" t="n">
        <f aca="false">1000000-H10</f>
        <v>183000</v>
      </c>
    </row>
    <row r="11" customFormat="false" ht="15" hidden="false" customHeight="true" outlineLevel="0" collapsed="false">
      <c r="A11" s="20" t="s">
        <v>646</v>
      </c>
      <c r="B11" s="21" t="n">
        <v>95000</v>
      </c>
      <c r="C11" s="21" t="n">
        <v>35000</v>
      </c>
      <c r="D11" s="21" t="n">
        <v>4000</v>
      </c>
      <c r="E11" s="21" t="n">
        <v>80000</v>
      </c>
      <c r="F11" s="21" t="n">
        <v>5000</v>
      </c>
      <c r="G11" s="22" t="n">
        <f aca="false">SUM(B11:F11)</f>
        <v>219000</v>
      </c>
      <c r="H11" s="22" t="n">
        <f aca="false">H10+G11</f>
        <v>1036000</v>
      </c>
      <c r="I11" s="22" t="n">
        <f aca="false">1000000-H11</f>
        <v>-36000</v>
      </c>
    </row>
    <row r="12" customFormat="false" ht="15" hidden="false" customHeight="true" outlineLevel="0" collapsed="false">
      <c r="A12" s="13" t="s">
        <v>647</v>
      </c>
      <c r="B12" s="23" t="n">
        <f aca="false">SUM(B6:B11)</f>
        <v>505000</v>
      </c>
      <c r="C12" s="23" t="n">
        <f aca="false">SUM(C6:C11)</f>
        <v>137000</v>
      </c>
      <c r="D12" s="23" t="n">
        <f aca="false">SUM(D6:D11)</f>
        <v>29000</v>
      </c>
      <c r="E12" s="23" t="n">
        <f aca="false">SUM(E6:E11)</f>
        <v>335000</v>
      </c>
      <c r="F12" s="23" t="n">
        <f aca="false">SUM(F6:F11)</f>
        <v>30000</v>
      </c>
      <c r="G12" s="23" t="n">
        <f aca="false">SUM(G6:G11)</f>
        <v>1036000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2026-05-10T02:36:17Z</dcterms:created>
  <dc:creator>openpyxl</dc:creator>
  <dc:description/>
  <dc:language>en-US</dc:language>
  <cp:lastModifiedBy/>
  <dcterms:modified xsi:type="dcterms:W3CDTF">2026-05-10T04:08:04Z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